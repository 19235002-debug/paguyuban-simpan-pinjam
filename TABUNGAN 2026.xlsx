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E:\3 PAGUYUBAN BRAVO\2026\"/>
    </mc:Choice>
  </mc:AlternateContent>
  <xr:revisionPtr revIDLastSave="0" documentId="13_ncr:1_{FEC612D2-E275-4EA0-B0A6-5372A7423719}" xr6:coauthVersionLast="45" xr6:coauthVersionMax="45" xr10:uidLastSave="{00000000-0000-0000-0000-000000000000}"/>
  <bookViews>
    <workbookView xWindow="-120" yWindow="-120" windowWidth="20730" windowHeight="11160" activeTab="3" xr2:uid="{00000000-000D-0000-FFFF-FFFF00000000}"/>
  </bookViews>
  <sheets>
    <sheet name="Simpanan Wajib 2024" sheetId="3" r:id="rId1"/>
    <sheet name="Simpanan Wajib 2025" sheetId="4" r:id="rId2"/>
    <sheet name="Simpanan Wajib 2026" sheetId="1" r:id="rId3"/>
    <sheet name="Total " sheetId="2" r:id="rId4"/>
    <sheet name="Sheet1" sheetId="5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9" i="1" l="1"/>
  <c r="K29" i="1"/>
  <c r="J29" i="1"/>
  <c r="I29" i="1"/>
  <c r="Q28" i="1"/>
  <c r="H29" i="1"/>
  <c r="G29" i="1"/>
  <c r="F29" i="1"/>
  <c r="E29" i="1"/>
  <c r="D29" i="1"/>
  <c r="K6" i="5" l="1"/>
  <c r="G29" i="2" l="1"/>
  <c r="F29" i="2"/>
  <c r="E29" i="2"/>
  <c r="D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P29" i="1"/>
  <c r="O29" i="1"/>
  <c r="N29" i="1"/>
  <c r="M29" i="1"/>
  <c r="R27" i="1"/>
  <c r="Q27" i="1"/>
  <c r="R26" i="1"/>
  <c r="Q26" i="1"/>
  <c r="R25" i="1"/>
  <c r="Q25" i="1"/>
  <c r="R24" i="1"/>
  <c r="Q24" i="1"/>
  <c r="R23" i="1"/>
  <c r="Q23" i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S29" i="4"/>
  <c r="R29" i="4"/>
  <c r="S28" i="4"/>
  <c r="R28" i="4"/>
  <c r="S27" i="4"/>
  <c r="R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R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P30" i="3"/>
  <c r="R29" i="3"/>
  <c r="P29" i="3"/>
  <c r="P28" i="3"/>
  <c r="R27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Q29" i="1" l="1"/>
  <c r="R29" i="1"/>
</calcChain>
</file>

<file path=xl/sharedStrings.xml><?xml version="1.0" encoding="utf-8"?>
<sst xmlns="http://schemas.openxmlformats.org/spreadsheetml/2006/main" count="234" uniqueCount="88">
  <si>
    <t>PAGUYUBAN GSD WITEL BEKASI</t>
  </si>
  <si>
    <t xml:space="preserve"> IURAN WAJIB ANGGOTA 2024</t>
  </si>
  <si>
    <t>NO</t>
  </si>
  <si>
    <t>NAMA</t>
  </si>
  <si>
    <t>SIMPANAN ANGGOTA TAHUN 2023</t>
  </si>
  <si>
    <t>JUMLAH SIMPANAN WAJIB</t>
  </si>
  <si>
    <t xml:space="preserve">JANUARI 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</si>
  <si>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</si>
  <si>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</si>
  <si>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</si>
  <si>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</si>
  <si>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</si>
  <si>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</si>
  <si>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</si>
  <si>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</si>
  <si>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</si>
  <si>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</si>
  <si>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</si>
  <si>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</si>
  <si>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MUSAFAK</t>
  </si>
  <si>
    <t>TRIYO SUTOPO</t>
  </si>
  <si>
    <t>SAEPUL MUHAEMIN</t>
  </si>
  <si>
    <t xml:space="preserve">SOLEHUDIN </t>
  </si>
  <si>
    <t>HAMBALI</t>
  </si>
  <si>
    <t>RAMDANI</t>
  </si>
  <si>
    <t>SEPRUDIANTO</t>
  </si>
  <si>
    <t>AGUS PURWANTO</t>
  </si>
  <si>
    <t>TARKA WIJAYA</t>
  </si>
  <si>
    <t>ARTA WIGUNA</t>
  </si>
  <si>
    <t>RUMIN SAPUTRA</t>
  </si>
  <si>
    <t>MUHAMMAD SOLEH</t>
  </si>
  <si>
    <t>WATI</t>
  </si>
  <si>
    <t xml:space="preserve">DIKA ADITYA </t>
  </si>
  <si>
    <t>MUHAMMAD ROFIK</t>
  </si>
  <si>
    <t>ADE AHMAD SAMSUDIN</t>
  </si>
  <si>
    <t>MADIH IRAMA</t>
  </si>
  <si>
    <t>GUNTUR ARYA SUTA</t>
  </si>
  <si>
    <t>WAHYU BUDI PRASETYO</t>
  </si>
  <si>
    <t>DAFA ANASSYAH MUTIARA TAMA</t>
  </si>
  <si>
    <t>HENDRA</t>
  </si>
  <si>
    <t>GIYATNO</t>
  </si>
  <si>
    <t>YUDA</t>
  </si>
  <si>
    <t>SOLIH BIN ABBAS</t>
  </si>
  <si>
    <t xml:space="preserve">JUMLAH TOTAL </t>
  </si>
  <si>
    <t>SIMPANAN ANGGOTA TAHUN 2024</t>
  </si>
  <si>
    <t>SIMPANAN ANGGOTA TAHUN 2025</t>
  </si>
  <si>
    <t>JUMLAH TAHUN  2025</t>
  </si>
  <si>
    <t>JUMLAH TOTAL</t>
  </si>
  <si>
    <t>JANUARI</t>
  </si>
  <si>
    <t xml:space="preserve">FEBRUARI </t>
  </si>
  <si>
    <t xml:space="preserve">APRIL </t>
  </si>
  <si>
    <t xml:space="preserve">MEI </t>
  </si>
  <si>
    <t xml:space="preserve">JUNI </t>
  </si>
  <si>
    <t xml:space="preserve">JULI 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</si>
  <si>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</si>
  <si>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</si>
  <si>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</si>
  <si>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</si>
  <si>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</si>
  <si>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</si>
  <si>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</si>
  <si>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</si>
  <si>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</si>
  <si>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</si>
  <si>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</si>
  <si>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</si>
  <si>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</si>
  <si>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</si>
  <si>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</si>
  <si>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</si>
  <si>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</si>
  <si>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</si>
  <si>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</si>
  <si>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</si>
  <si>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</si>
  <si>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</si>
  <si>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SIMPANAN ANGGOTA  SD TAHUN 2025</t>
  </si>
  <si>
    <t>SIMPANAN ANGGOTA TAHUN 2026</t>
  </si>
  <si>
    <t>PAGUYUBAN RAVO BEKASI  WITEL BEKASI</t>
  </si>
  <si>
    <t>JUMLAH TAHUN  2026</t>
  </si>
  <si>
    <t xml:space="preserve">JUMLAH SIMPANAN </t>
  </si>
  <si>
    <t xml:space="preserve">SISA ANGSURAN </t>
  </si>
  <si>
    <t xml:space="preserve">BAGI HASIL LABA </t>
  </si>
  <si>
    <t xml:space="preserve">JUMLAH </t>
  </si>
  <si>
    <t>NO ID</t>
  </si>
  <si>
    <t>LAPORAN SIMPANAN ANGGOTA</t>
  </si>
  <si>
    <t>023</t>
  </si>
  <si>
    <t>ADITYA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</si>
</sst>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_(&quot;Rp&quot;* #,##0_);_(&quot;Rp&quot;* \(#,##0\);_(&quot;Rp&quot;* &quot;-&quot;_);_(@_)"/>
  </numFmts>
  <fonts count="8">
    <font>
      <sz val="11"/>
      <color theme="1"/>
      <name val="Calibri"/>
      <charset val="134"/>
      <scheme val="minor"/>
    </font>
    <font>
      <sz val="11"/>
      <color theme="1"/>
      <name val="Arial Narrow"/>
      <charset val="134"/>
    </font>
    <font>
      <b/>
      <sz val="11"/>
      <color theme="1"/>
      <name val="Arial Narrow"/>
      <charset val="134"/>
    </font>
    <font>
      <b/>
      <sz val="12"/>
      <color theme="1"/>
      <name val="Arial Narrow"/>
      <charset val="134"/>
    </font>
    <font>
      <b/>
      <sz val="16"/>
      <color theme="1"/>
      <name val="Arial Narrow"/>
      <charset val="134"/>
    </font>
    <font>
      <b/>
      <sz val="11"/>
      <color rgb="FFC00000"/>
      <name val="Arial Narrow"/>
      <charset val="134"/>
    </font>
    <font>
      <b/>
      <sz val="11"/>
      <color theme="1"/>
      <name val="Calibri"/>
      <family val="2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164" fontId="1" fillId="0" borderId="0" xfId="0" applyNumberFormat="1" applyFont="1"/>
    <xf numFmtId="42" fontId="1" fillId="0" borderId="0" xfId="0" applyNumberFormat="1" applyFont="1"/>
    <xf numFmtId="42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42" fontId="1" fillId="0" borderId="3" xfId="0" applyNumberFormat="1" applyFont="1" applyBorder="1"/>
    <xf numFmtId="0" fontId="1" fillId="0" borderId="3" xfId="0" applyFont="1" applyBorder="1"/>
    <xf numFmtId="164" fontId="1" fillId="0" borderId="3" xfId="0" applyNumberFormat="1" applyFont="1" applyBorder="1"/>
    <xf numFmtId="0" fontId="3" fillId="0" borderId="3" xfId="0" applyFont="1" applyBorder="1" applyAlignment="1">
      <alignment vertical="center"/>
    </xf>
    <xf numFmtId="164" fontId="3" fillId="0" borderId="3" xfId="0" applyNumberFormat="1" applyFont="1" applyBorder="1" applyAlignment="1">
      <alignment vertical="center"/>
    </xf>
    <xf numFmtId="164" fontId="2" fillId="0" borderId="3" xfId="0" applyNumberFormat="1" applyFont="1" applyBorder="1" applyAlignment="1">
      <alignment horizontal="center" vertical="center"/>
    </xf>
    <xf numFmtId="42" fontId="2" fillId="0" borderId="3" xfId="0" applyNumberFormat="1" applyFont="1" applyBorder="1" applyAlignment="1">
      <alignment horizontal="center" vertical="center"/>
    </xf>
    <xf numFmtId="42" fontId="2" fillId="0" borderId="3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42" fontId="1" fillId="0" borderId="0" xfId="0" applyNumberFormat="1" applyFont="1" applyAlignment="1">
      <alignment horizontal="center"/>
    </xf>
    <xf numFmtId="42" fontId="4" fillId="0" borderId="0" xfId="0" applyNumberFormat="1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/>
    </xf>
    <xf numFmtId="42" fontId="3" fillId="0" borderId="3" xfId="0" applyNumberFormat="1" applyFont="1" applyBorder="1" applyAlignment="1">
      <alignment vertical="center"/>
    </xf>
    <xf numFmtId="42" fontId="2" fillId="0" borderId="3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/>
    </xf>
    <xf numFmtId="164" fontId="1" fillId="0" borderId="9" xfId="0" applyNumberFormat="1" applyFont="1" applyBorder="1"/>
    <xf numFmtId="164" fontId="1" fillId="0" borderId="4" xfId="0" applyNumberFormat="1" applyFont="1" applyBorder="1"/>
    <xf numFmtId="164" fontId="1" fillId="0" borderId="2" xfId="0" applyNumberFormat="1" applyFont="1" applyBorder="1"/>
    <xf numFmtId="0" fontId="2" fillId="0" borderId="3" xfId="0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3" xfId="0" quotePrefix="1" applyFont="1" applyBorder="1" applyAlignment="1">
      <alignment horizontal="center" vertic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42" fontId="6" fillId="0" borderId="3" xfId="0" applyNumberFormat="1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2" fontId="4" fillId="0" borderId="5" xfId="0" applyNumberFormat="1" applyFont="1" applyBorder="1" applyAlignment="1">
      <alignment horizontal="center" vertical="center" wrapText="1"/>
    </xf>
    <xf numFmtId="42" fontId="4" fillId="0" borderId="0" xfId="0" applyNumberFormat="1" applyFont="1" applyAlignment="1">
      <alignment horizontal="center" vertical="center" wrapText="1"/>
    </xf>
    <xf numFmtId="42" fontId="3" fillId="0" borderId="4" xfId="0" applyNumberFormat="1" applyFont="1" applyBorder="1" applyAlignment="1">
      <alignment horizontal="center" vertical="center" wrapText="1"/>
    </xf>
    <xf numFmtId="42" fontId="3" fillId="0" borderId="8" xfId="0" applyNumberFormat="1" applyFont="1" applyBorder="1" applyAlignment="1">
      <alignment horizontal="center" vertical="center" wrapText="1"/>
    </xf>
    <xf numFmtId="42" fontId="4" fillId="0" borderId="3" xfId="0" applyNumberFormat="1" applyFont="1" applyBorder="1" applyAlignment="1">
      <alignment horizontal="center" vertical="center" wrapText="1"/>
    </xf>
    <xf numFmtId="42" fontId="0" fillId="0" borderId="5" xfId="0" applyNumberFormat="1" applyBorder="1" applyAlignment="1">
      <alignment horizontal="center"/>
    </xf>
    <xf numFmtId="42" fontId="1" fillId="0" borderId="4" xfId="0" applyNumberFormat="1" applyFont="1" applyBorder="1" applyAlignment="1">
      <alignment horizontal="center"/>
    </xf>
    <xf numFmtId="42" fontId="1" fillId="0" borderId="8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opLeftCell="A16" workbookViewId="0">
      <selection activeCell="C35" sqref="C35"/>
    </sheetView>
  </sheetViews>
  <sheetFormatPr defaultColWidth="9.140625" defaultRowHeight="16.5"/>
  <cols>
    <col min="1" max="1" width="7" style="1" customWidth="1"/>
    <col min="2" max="2" width="32.7109375" style="1" customWidth="1"/>
    <col min="3" max="3" width="21" style="2" customWidth="1"/>
    <col min="4" max="5" width="17.85546875" style="2" customWidth="1"/>
    <col min="6" max="13" width="17.85546875" style="1" customWidth="1"/>
    <col min="14" max="14" width="14" style="1" customWidth="1"/>
    <col min="15" max="15" width="17.85546875" style="1" customWidth="1"/>
    <col min="16" max="16" width="19.28515625" style="2" customWidth="1"/>
    <col min="17" max="17" width="26.42578125" style="2" customWidth="1"/>
    <col min="18" max="18" width="21.140625" style="1" customWidth="1"/>
    <col min="19" max="19" width="14.5703125" style="1" customWidth="1"/>
    <col min="20" max="16384" width="9.140625" style="1"/>
  </cols>
  <sheetData>
    <row r="1" spans="1:17">
      <c r="A1" s="5" t="s">
        <v>0</v>
      </c>
      <c r="B1" s="5"/>
      <c r="C1" s="6"/>
    </row>
    <row r="2" spans="1:17">
      <c r="A2" s="5" t="s">
        <v>1</v>
      </c>
      <c r="B2" s="5"/>
      <c r="C2" s="6"/>
    </row>
    <row r="3" spans="1:17" ht="7.5" customHeight="1"/>
    <row r="4" spans="1:17" s="27" customFormat="1" ht="20.25">
      <c r="A4" s="56" t="s">
        <v>2</v>
      </c>
      <c r="B4" s="56" t="s">
        <v>3</v>
      </c>
      <c r="C4" s="57" t="s">
        <v>4</v>
      </c>
      <c r="D4" s="31">
        <v>1</v>
      </c>
      <c r="E4" s="31">
        <v>2</v>
      </c>
      <c r="F4" s="31">
        <v>3</v>
      </c>
      <c r="G4" s="31">
        <v>4</v>
      </c>
      <c r="H4" s="31">
        <v>5</v>
      </c>
      <c r="I4" s="31">
        <v>6</v>
      </c>
      <c r="J4" s="32">
        <v>7</v>
      </c>
      <c r="K4" s="31">
        <v>8</v>
      </c>
      <c r="L4" s="33">
        <v>9</v>
      </c>
      <c r="M4" s="33">
        <v>10</v>
      </c>
      <c r="N4" s="33">
        <v>11</v>
      </c>
      <c r="O4" s="33">
        <v>12</v>
      </c>
      <c r="P4" s="59" t="s">
        <v>5</v>
      </c>
      <c r="Q4" s="34"/>
    </row>
    <row r="5" spans="1:17" s="28" customFormat="1" ht="29.25" customHeight="1">
      <c r="A5" s="56"/>
      <c r="B5" s="56"/>
      <c r="C5" s="58"/>
      <c r="D5" s="35" t="s">
        <v>6</v>
      </c>
      <c r="E5" s="35" t="s">
        <v>7</v>
      </c>
      <c r="F5" s="35" t="s">
        <v>8</v>
      </c>
      <c r="G5" s="35" t="s">
        <v>9</v>
      </c>
      <c r="H5" s="35" t="s">
        <v>10</v>
      </c>
      <c r="I5" s="35" t="s">
        <v>11</v>
      </c>
      <c r="J5" s="35" t="s">
        <v>12</v>
      </c>
      <c r="K5" s="35" t="s">
        <v>13</v>
      </c>
      <c r="L5" s="35" t="s">
        <v>14</v>
      </c>
      <c r="M5" s="35" t="s">
        <v>15</v>
      </c>
      <c r="N5" s="35" t="s">
        <v>16</v>
      </c>
      <c r="O5" s="35" t="s">
        <v>17</v>
      </c>
      <c r="P5" s="60"/>
      <c r="Q5" s="36" t="s">
        <v>18</v>
      </c>
    </row>
    <row r="6" spans="1:17" s="29" customFormat="1" ht="15" customHeight="1">
      <c r="A6" s="8"/>
      <c r="B6" s="8"/>
      <c r="C6" s="23"/>
      <c r="D6" s="37"/>
      <c r="E6" s="38"/>
      <c r="F6" s="38"/>
      <c r="G6" s="38"/>
      <c r="H6" s="38"/>
      <c r="I6" s="38"/>
      <c r="J6" s="39"/>
      <c r="K6" s="38"/>
      <c r="L6" s="40"/>
      <c r="M6" s="40"/>
      <c r="N6" s="40"/>
      <c r="O6" s="40"/>
      <c r="P6" s="41"/>
      <c r="Q6" s="42"/>
    </row>
    <row r="7" spans="1:17">
      <c r="A7" s="8">
        <v>1</v>
      </c>
      <c r="B7" s="11" t="s">
        <v>19</v>
      </c>
      <c r="C7" s="12">
        <v>800000</v>
      </c>
      <c r="D7" s="12">
        <v>100000</v>
      </c>
      <c r="E7" s="12">
        <v>100000</v>
      </c>
      <c r="F7" s="12">
        <v>100000</v>
      </c>
      <c r="G7" s="12">
        <v>100000</v>
      </c>
      <c r="H7" s="12">
        <v>100000</v>
      </c>
      <c r="I7" s="12">
        <v>100000</v>
      </c>
      <c r="J7" s="12">
        <v>100000</v>
      </c>
      <c r="K7" s="12">
        <v>100000</v>
      </c>
      <c r="L7" s="43">
        <v>100000</v>
      </c>
      <c r="M7" s="43">
        <v>100000</v>
      </c>
      <c r="N7" s="43">
        <v>0</v>
      </c>
      <c r="O7" s="43">
        <v>100000</v>
      </c>
      <c r="P7" s="43">
        <f>SUM(C7:O7)</f>
        <v>1900000</v>
      </c>
      <c r="Q7" s="12"/>
    </row>
    <row r="8" spans="1:17">
      <c r="A8" s="8">
        <v>2</v>
      </c>
      <c r="B8" s="11" t="s">
        <v>20</v>
      </c>
      <c r="C8" s="12">
        <v>800000</v>
      </c>
      <c r="D8" s="12">
        <v>100000</v>
      </c>
      <c r="E8" s="12">
        <v>100000</v>
      </c>
      <c r="F8" s="12">
        <v>100000</v>
      </c>
      <c r="G8" s="12">
        <v>100000</v>
      </c>
      <c r="H8" s="12">
        <v>100000</v>
      </c>
      <c r="I8" s="12">
        <v>100000</v>
      </c>
      <c r="J8" s="12">
        <v>100000</v>
      </c>
      <c r="K8" s="12">
        <v>100000</v>
      </c>
      <c r="L8" s="43">
        <v>100000</v>
      </c>
      <c r="M8" s="43">
        <v>100000</v>
      </c>
      <c r="N8" s="43">
        <v>0</v>
      </c>
      <c r="O8" s="43">
        <v>100000</v>
      </c>
      <c r="P8" s="43">
        <f t="shared" ref="P8:P29" si="0">SUM(C8:O8)</f>
        <v>1900000</v>
      </c>
      <c r="Q8" s="12"/>
    </row>
    <row r="9" spans="1:17">
      <c r="A9" s="8">
        <v>3</v>
      </c>
      <c r="B9" s="11" t="s">
        <v>21</v>
      </c>
      <c r="C9" s="12">
        <v>800000</v>
      </c>
      <c r="D9" s="12">
        <v>100000</v>
      </c>
      <c r="E9" s="12">
        <v>100000</v>
      </c>
      <c r="F9" s="12">
        <v>100000</v>
      </c>
      <c r="G9" s="12">
        <v>100000</v>
      </c>
      <c r="H9" s="12">
        <v>100000</v>
      </c>
      <c r="I9" s="12">
        <v>100000</v>
      </c>
      <c r="J9" s="12">
        <v>100000</v>
      </c>
      <c r="K9" s="12">
        <v>100000</v>
      </c>
      <c r="L9" s="43">
        <v>100000</v>
      </c>
      <c r="M9" s="43">
        <v>100000</v>
      </c>
      <c r="N9" s="43">
        <v>0</v>
      </c>
      <c r="O9" s="43">
        <v>100000</v>
      </c>
      <c r="P9" s="43">
        <f t="shared" si="0"/>
        <v>1900000</v>
      </c>
      <c r="Q9" s="12"/>
    </row>
    <row r="10" spans="1:17">
      <c r="A10" s="8">
        <v>4</v>
      </c>
      <c r="B10" s="11" t="s">
        <v>22</v>
      </c>
      <c r="C10" s="12">
        <v>800000</v>
      </c>
      <c r="D10" s="12">
        <v>100000</v>
      </c>
      <c r="E10" s="12">
        <v>100000</v>
      </c>
      <c r="F10" s="12">
        <v>100000</v>
      </c>
      <c r="G10" s="12">
        <v>100000</v>
      </c>
      <c r="H10" s="12">
        <v>100000</v>
      </c>
      <c r="I10" s="12">
        <v>100000</v>
      </c>
      <c r="J10" s="12">
        <v>100000</v>
      </c>
      <c r="K10" s="12">
        <v>100000</v>
      </c>
      <c r="L10" s="43">
        <v>100000</v>
      </c>
      <c r="M10" s="43">
        <v>100000</v>
      </c>
      <c r="N10" s="43">
        <v>0</v>
      </c>
      <c r="O10" s="43">
        <v>100000</v>
      </c>
      <c r="P10" s="43">
        <f t="shared" si="0"/>
        <v>1900000</v>
      </c>
      <c r="Q10" s="12"/>
    </row>
    <row r="11" spans="1:17">
      <c r="A11" s="8">
        <v>5</v>
      </c>
      <c r="B11" s="11" t="s">
        <v>23</v>
      </c>
      <c r="C11" s="12">
        <v>800000</v>
      </c>
      <c r="D11" s="12">
        <v>100000</v>
      </c>
      <c r="E11" s="12">
        <v>100000</v>
      </c>
      <c r="F11" s="12">
        <v>100000</v>
      </c>
      <c r="G11" s="12">
        <v>100000</v>
      </c>
      <c r="H11" s="12">
        <v>100000</v>
      </c>
      <c r="I11" s="12">
        <v>100000</v>
      </c>
      <c r="J11" s="12">
        <v>100000</v>
      </c>
      <c r="K11" s="12">
        <v>100000</v>
      </c>
      <c r="L11" s="43">
        <v>100000</v>
      </c>
      <c r="M11" s="43">
        <v>100000</v>
      </c>
      <c r="N11" s="43">
        <v>0</v>
      </c>
      <c r="O11" s="43">
        <v>100000</v>
      </c>
      <c r="P11" s="43">
        <f t="shared" si="0"/>
        <v>1900000</v>
      </c>
      <c r="Q11" s="12"/>
    </row>
    <row r="12" spans="1:17">
      <c r="A12" s="8">
        <v>6</v>
      </c>
      <c r="B12" s="11" t="s">
        <v>24</v>
      </c>
      <c r="C12" s="12">
        <v>800000</v>
      </c>
      <c r="D12" s="12">
        <v>100000</v>
      </c>
      <c r="E12" s="12">
        <v>100000</v>
      </c>
      <c r="F12" s="12">
        <v>100000</v>
      </c>
      <c r="G12" s="12">
        <v>100000</v>
      </c>
      <c r="H12" s="12">
        <v>100000</v>
      </c>
      <c r="I12" s="12">
        <v>100000</v>
      </c>
      <c r="J12" s="12">
        <v>100000</v>
      </c>
      <c r="K12" s="12">
        <v>100000</v>
      </c>
      <c r="L12" s="43">
        <v>100000</v>
      </c>
      <c r="M12" s="43">
        <v>100000</v>
      </c>
      <c r="N12" s="43">
        <v>0</v>
      </c>
      <c r="O12" s="43">
        <v>100000</v>
      </c>
      <c r="P12" s="43">
        <f t="shared" si="0"/>
        <v>1900000</v>
      </c>
      <c r="Q12" s="12"/>
    </row>
    <row r="13" spans="1:17">
      <c r="A13" s="8">
        <v>7</v>
      </c>
      <c r="B13" s="11" t="s">
        <v>25</v>
      </c>
      <c r="C13" s="12">
        <v>800000</v>
      </c>
      <c r="D13" s="12">
        <v>100000</v>
      </c>
      <c r="E13" s="12">
        <v>100000</v>
      </c>
      <c r="F13" s="12">
        <v>100000</v>
      </c>
      <c r="G13" s="12">
        <v>100000</v>
      </c>
      <c r="H13" s="12">
        <v>100000</v>
      </c>
      <c r="I13" s="12">
        <v>100000</v>
      </c>
      <c r="J13" s="12">
        <v>100000</v>
      </c>
      <c r="K13" s="12">
        <v>100000</v>
      </c>
      <c r="L13" s="43">
        <v>100000</v>
      </c>
      <c r="M13" s="43">
        <v>100000</v>
      </c>
      <c r="N13" s="43">
        <v>0</v>
      </c>
      <c r="O13" s="43">
        <v>100000</v>
      </c>
      <c r="P13" s="43">
        <f t="shared" si="0"/>
        <v>1900000</v>
      </c>
      <c r="Q13" s="12"/>
    </row>
    <row r="14" spans="1:17">
      <c r="A14" s="8">
        <v>8</v>
      </c>
      <c r="B14" s="11" t="s">
        <v>26</v>
      </c>
      <c r="C14" s="12">
        <v>800000</v>
      </c>
      <c r="D14" s="12">
        <v>100000</v>
      </c>
      <c r="E14" s="12">
        <v>100000</v>
      </c>
      <c r="F14" s="12">
        <v>100000</v>
      </c>
      <c r="G14" s="12">
        <v>100000</v>
      </c>
      <c r="H14" s="12">
        <v>100000</v>
      </c>
      <c r="I14" s="12">
        <v>100000</v>
      </c>
      <c r="J14" s="12">
        <v>100000</v>
      </c>
      <c r="K14" s="12">
        <v>100000</v>
      </c>
      <c r="L14" s="43">
        <v>100000</v>
      </c>
      <c r="M14" s="43">
        <v>100000</v>
      </c>
      <c r="N14" s="43">
        <v>0</v>
      </c>
      <c r="O14" s="43">
        <v>100000</v>
      </c>
      <c r="P14" s="43">
        <f t="shared" si="0"/>
        <v>1900000</v>
      </c>
      <c r="Q14" s="12"/>
    </row>
    <row r="15" spans="1:17">
      <c r="A15" s="8">
        <v>9</v>
      </c>
      <c r="B15" s="11" t="s">
        <v>27</v>
      </c>
      <c r="C15" s="12">
        <v>800000</v>
      </c>
      <c r="D15" s="12">
        <v>100000</v>
      </c>
      <c r="E15" s="12">
        <v>100000</v>
      </c>
      <c r="F15" s="12">
        <v>100000</v>
      </c>
      <c r="G15" s="12">
        <v>100000</v>
      </c>
      <c r="H15" s="12">
        <v>100000</v>
      </c>
      <c r="I15" s="12">
        <v>100000</v>
      </c>
      <c r="J15" s="12">
        <v>100000</v>
      </c>
      <c r="K15" s="12">
        <v>100000</v>
      </c>
      <c r="L15" s="43">
        <v>100000</v>
      </c>
      <c r="M15" s="43">
        <v>100000</v>
      </c>
      <c r="N15" s="43">
        <v>0</v>
      </c>
      <c r="O15" s="43">
        <v>100000</v>
      </c>
      <c r="P15" s="43">
        <f t="shared" si="0"/>
        <v>1900000</v>
      </c>
      <c r="Q15" s="12"/>
    </row>
    <row r="16" spans="1:17">
      <c r="A16" s="8">
        <v>10</v>
      </c>
      <c r="B16" s="11" t="s">
        <v>28</v>
      </c>
      <c r="C16" s="12">
        <v>800000</v>
      </c>
      <c r="D16" s="12">
        <v>100000</v>
      </c>
      <c r="E16" s="12">
        <v>100000</v>
      </c>
      <c r="F16" s="12">
        <v>100000</v>
      </c>
      <c r="G16" s="12">
        <v>100000</v>
      </c>
      <c r="H16" s="12">
        <v>100000</v>
      </c>
      <c r="I16" s="12">
        <v>100000</v>
      </c>
      <c r="J16" s="12">
        <v>100000</v>
      </c>
      <c r="K16" s="12">
        <v>100000</v>
      </c>
      <c r="L16" s="43">
        <v>100000</v>
      </c>
      <c r="M16" s="43">
        <v>100000</v>
      </c>
      <c r="N16" s="43">
        <v>0</v>
      </c>
      <c r="O16" s="43">
        <v>100000</v>
      </c>
      <c r="P16" s="43">
        <f t="shared" si="0"/>
        <v>1900000</v>
      </c>
      <c r="Q16" s="12"/>
    </row>
    <row r="17" spans="1:19">
      <c r="A17" s="8">
        <v>11</v>
      </c>
      <c r="B17" s="11" t="s">
        <v>29</v>
      </c>
      <c r="C17" s="12">
        <v>800000</v>
      </c>
      <c r="D17" s="12">
        <v>100000</v>
      </c>
      <c r="E17" s="12">
        <v>100000</v>
      </c>
      <c r="F17" s="12">
        <v>100000</v>
      </c>
      <c r="G17" s="12">
        <v>100000</v>
      </c>
      <c r="H17" s="12">
        <v>100000</v>
      </c>
      <c r="I17" s="12">
        <v>100000</v>
      </c>
      <c r="J17" s="12">
        <v>100000</v>
      </c>
      <c r="K17" s="12">
        <v>100000</v>
      </c>
      <c r="L17" s="43">
        <v>100000</v>
      </c>
      <c r="M17" s="43">
        <v>100000</v>
      </c>
      <c r="N17" s="43">
        <v>0</v>
      </c>
      <c r="O17" s="43">
        <v>100000</v>
      </c>
      <c r="P17" s="43">
        <f t="shared" si="0"/>
        <v>1900000</v>
      </c>
      <c r="Q17" s="12"/>
    </row>
    <row r="18" spans="1:19">
      <c r="A18" s="8">
        <v>12</v>
      </c>
      <c r="B18" s="11" t="s">
        <v>30</v>
      </c>
      <c r="C18" s="12">
        <v>800000</v>
      </c>
      <c r="D18" s="12">
        <v>100000</v>
      </c>
      <c r="E18" s="12">
        <v>100000</v>
      </c>
      <c r="F18" s="12">
        <v>100000</v>
      </c>
      <c r="G18" s="12">
        <v>100000</v>
      </c>
      <c r="H18" s="12">
        <v>100000</v>
      </c>
      <c r="I18" s="12">
        <v>100000</v>
      </c>
      <c r="J18" s="12">
        <v>100000</v>
      </c>
      <c r="K18" s="12">
        <v>100000</v>
      </c>
      <c r="L18" s="43">
        <v>100000</v>
      </c>
      <c r="M18" s="43">
        <v>100000</v>
      </c>
      <c r="N18" s="43">
        <v>0</v>
      </c>
      <c r="O18" s="43">
        <v>100000</v>
      </c>
      <c r="P18" s="43">
        <f t="shared" si="0"/>
        <v>1900000</v>
      </c>
      <c r="Q18" s="12"/>
    </row>
    <row r="19" spans="1:19">
      <c r="A19" s="8">
        <v>13</v>
      </c>
      <c r="B19" s="11" t="s">
        <v>31</v>
      </c>
      <c r="C19" s="12">
        <v>800000</v>
      </c>
      <c r="D19" s="12">
        <v>100000</v>
      </c>
      <c r="E19" s="12">
        <v>100000</v>
      </c>
      <c r="F19" s="12">
        <v>100000</v>
      </c>
      <c r="G19" s="12">
        <v>100000</v>
      </c>
      <c r="H19" s="12">
        <v>100000</v>
      </c>
      <c r="I19" s="12">
        <v>100000</v>
      </c>
      <c r="J19" s="12">
        <v>100000</v>
      </c>
      <c r="K19" s="12">
        <v>100000</v>
      </c>
      <c r="L19" s="43">
        <v>100000</v>
      </c>
      <c r="M19" s="43">
        <v>100000</v>
      </c>
      <c r="N19" s="43">
        <v>0</v>
      </c>
      <c r="O19" s="43">
        <v>100000</v>
      </c>
      <c r="P19" s="43">
        <f t="shared" si="0"/>
        <v>1900000</v>
      </c>
      <c r="Q19" s="12"/>
    </row>
    <row r="20" spans="1:19">
      <c r="A20" s="8">
        <v>14</v>
      </c>
      <c r="B20" s="11" t="s">
        <v>32</v>
      </c>
      <c r="C20" s="12">
        <v>800000</v>
      </c>
      <c r="D20" s="12">
        <v>100000</v>
      </c>
      <c r="E20" s="12">
        <v>100000</v>
      </c>
      <c r="F20" s="12">
        <v>100000</v>
      </c>
      <c r="G20" s="12">
        <v>100000</v>
      </c>
      <c r="H20" s="12">
        <v>100000</v>
      </c>
      <c r="I20" s="12">
        <v>100000</v>
      </c>
      <c r="J20" s="12">
        <v>100000</v>
      </c>
      <c r="K20" s="12">
        <v>100000</v>
      </c>
      <c r="L20" s="43">
        <v>100000</v>
      </c>
      <c r="M20" s="43">
        <v>100000</v>
      </c>
      <c r="N20" s="43">
        <v>0</v>
      </c>
      <c r="O20" s="43">
        <v>100000</v>
      </c>
      <c r="P20" s="43">
        <f t="shared" si="0"/>
        <v>1900000</v>
      </c>
      <c r="Q20" s="12"/>
    </row>
    <row r="21" spans="1:19">
      <c r="A21" s="8">
        <v>15</v>
      </c>
      <c r="B21" s="11" t="s">
        <v>33</v>
      </c>
      <c r="C21" s="12">
        <v>800000</v>
      </c>
      <c r="D21" s="12">
        <v>100000</v>
      </c>
      <c r="E21" s="12">
        <v>100000</v>
      </c>
      <c r="F21" s="12">
        <v>100000</v>
      </c>
      <c r="G21" s="12">
        <v>100000</v>
      </c>
      <c r="H21" s="12">
        <v>100000</v>
      </c>
      <c r="I21" s="12">
        <v>100000</v>
      </c>
      <c r="J21" s="12">
        <v>100000</v>
      </c>
      <c r="K21" s="12">
        <v>100000</v>
      </c>
      <c r="L21" s="43">
        <v>100000</v>
      </c>
      <c r="M21" s="43">
        <v>100000</v>
      </c>
      <c r="N21" s="43">
        <v>0</v>
      </c>
      <c r="O21" s="43">
        <v>100000</v>
      </c>
      <c r="P21" s="43">
        <f t="shared" si="0"/>
        <v>1900000</v>
      </c>
      <c r="Q21" s="12"/>
    </row>
    <row r="22" spans="1:19">
      <c r="A22" s="8">
        <v>16</v>
      </c>
      <c r="B22" s="11" t="s">
        <v>34</v>
      </c>
      <c r="C22" s="12">
        <v>800000</v>
      </c>
      <c r="D22" s="12">
        <v>100000</v>
      </c>
      <c r="E22" s="12">
        <v>100000</v>
      </c>
      <c r="F22" s="12">
        <v>100000</v>
      </c>
      <c r="G22" s="12">
        <v>100000</v>
      </c>
      <c r="H22" s="12">
        <v>100000</v>
      </c>
      <c r="I22" s="12">
        <v>100000</v>
      </c>
      <c r="J22" s="12">
        <v>100000</v>
      </c>
      <c r="K22" s="12">
        <v>100000</v>
      </c>
      <c r="L22" s="43">
        <v>100000</v>
      </c>
      <c r="M22" s="43">
        <v>100000</v>
      </c>
      <c r="N22" s="43">
        <v>0</v>
      </c>
      <c r="O22" s="43">
        <v>100000</v>
      </c>
      <c r="P22" s="43">
        <f t="shared" si="0"/>
        <v>1900000</v>
      </c>
      <c r="Q22" s="12"/>
    </row>
    <row r="23" spans="1:19">
      <c r="A23" s="8">
        <v>17</v>
      </c>
      <c r="B23" s="11" t="s">
        <v>35</v>
      </c>
      <c r="C23" s="12">
        <v>800000</v>
      </c>
      <c r="D23" s="12">
        <v>100000</v>
      </c>
      <c r="E23" s="12">
        <v>100000</v>
      </c>
      <c r="F23" s="12">
        <v>100000</v>
      </c>
      <c r="G23" s="12">
        <v>100000</v>
      </c>
      <c r="H23" s="12">
        <v>100000</v>
      </c>
      <c r="I23" s="12">
        <v>100000</v>
      </c>
      <c r="J23" s="12">
        <v>100000</v>
      </c>
      <c r="K23" s="12">
        <v>100000</v>
      </c>
      <c r="L23" s="43">
        <v>100000</v>
      </c>
      <c r="M23" s="43">
        <v>100000</v>
      </c>
      <c r="N23" s="43">
        <v>0</v>
      </c>
      <c r="O23" s="43">
        <v>100000</v>
      </c>
      <c r="P23" s="43">
        <f t="shared" si="0"/>
        <v>1900000</v>
      </c>
      <c r="Q23" s="12"/>
    </row>
    <row r="24" spans="1:19">
      <c r="A24" s="8">
        <v>18</v>
      </c>
      <c r="B24" s="11" t="s">
        <v>36</v>
      </c>
      <c r="C24" s="12">
        <v>800000</v>
      </c>
      <c r="D24" s="12">
        <v>100000</v>
      </c>
      <c r="E24" s="12">
        <v>100000</v>
      </c>
      <c r="F24" s="12">
        <v>100000</v>
      </c>
      <c r="G24" s="12">
        <v>100000</v>
      </c>
      <c r="H24" s="12">
        <v>100000</v>
      </c>
      <c r="I24" s="12">
        <v>100000</v>
      </c>
      <c r="J24" s="12">
        <v>100000</v>
      </c>
      <c r="K24" s="12">
        <v>100000</v>
      </c>
      <c r="L24" s="43">
        <v>100000</v>
      </c>
      <c r="M24" s="43">
        <v>100000</v>
      </c>
      <c r="N24" s="43">
        <v>0</v>
      </c>
      <c r="O24" s="43">
        <v>100000</v>
      </c>
      <c r="P24" s="43">
        <f t="shared" si="0"/>
        <v>1900000</v>
      </c>
      <c r="Q24" s="12"/>
    </row>
    <row r="25" spans="1:19">
      <c r="A25" s="8">
        <v>19</v>
      </c>
      <c r="B25" s="11" t="s">
        <v>37</v>
      </c>
      <c r="C25" s="12">
        <v>800000</v>
      </c>
      <c r="D25" s="12">
        <v>100000</v>
      </c>
      <c r="E25" s="12">
        <v>100000</v>
      </c>
      <c r="F25" s="12">
        <v>100000</v>
      </c>
      <c r="G25" s="12">
        <v>100000</v>
      </c>
      <c r="H25" s="12">
        <v>100000</v>
      </c>
      <c r="I25" s="12">
        <v>100000</v>
      </c>
      <c r="J25" s="12">
        <v>100000</v>
      </c>
      <c r="K25" s="12">
        <v>100000</v>
      </c>
      <c r="L25" s="43">
        <v>100000</v>
      </c>
      <c r="M25" s="43">
        <v>100000</v>
      </c>
      <c r="N25" s="43">
        <v>0</v>
      </c>
      <c r="O25" s="43">
        <v>100000</v>
      </c>
      <c r="P25" s="43">
        <f t="shared" si="0"/>
        <v>1900000</v>
      </c>
      <c r="Q25" s="12"/>
    </row>
    <row r="26" spans="1:19">
      <c r="A26" s="8">
        <v>20</v>
      </c>
      <c r="B26" s="11" t="s">
        <v>38</v>
      </c>
      <c r="C26" s="12">
        <v>800000</v>
      </c>
      <c r="D26" s="12">
        <v>100000</v>
      </c>
      <c r="E26" s="12">
        <v>100000</v>
      </c>
      <c r="F26" s="12">
        <v>100000</v>
      </c>
      <c r="G26" s="12">
        <v>100000</v>
      </c>
      <c r="H26" s="12">
        <v>100000</v>
      </c>
      <c r="I26" s="12">
        <v>100000</v>
      </c>
      <c r="J26" s="12">
        <v>100000</v>
      </c>
      <c r="K26" s="12">
        <v>100000</v>
      </c>
      <c r="L26" s="43">
        <v>100000</v>
      </c>
      <c r="M26" s="43">
        <v>100000</v>
      </c>
      <c r="N26" s="43">
        <v>0</v>
      </c>
      <c r="O26" s="43">
        <v>100000</v>
      </c>
      <c r="P26" s="43">
        <f t="shared" si="0"/>
        <v>1900000</v>
      </c>
      <c r="Q26" s="12"/>
    </row>
    <row r="27" spans="1:19">
      <c r="A27" s="8">
        <v>21</v>
      </c>
      <c r="B27" s="11" t="s">
        <v>39</v>
      </c>
      <c r="C27" s="12">
        <v>800000</v>
      </c>
      <c r="D27" s="12">
        <v>100000</v>
      </c>
      <c r="E27" s="12">
        <v>100000</v>
      </c>
      <c r="F27" s="12">
        <v>100000</v>
      </c>
      <c r="G27" s="12">
        <v>100000</v>
      </c>
      <c r="H27" s="12">
        <v>100000</v>
      </c>
      <c r="I27" s="12">
        <v>100000</v>
      </c>
      <c r="J27" s="12">
        <v>100000</v>
      </c>
      <c r="K27" s="12">
        <v>100000</v>
      </c>
      <c r="L27" s="43">
        <v>100000</v>
      </c>
      <c r="M27" s="43">
        <v>100000</v>
      </c>
      <c r="N27" s="43">
        <v>0</v>
      </c>
      <c r="O27" s="43">
        <v>100000</v>
      </c>
      <c r="P27" s="43">
        <f t="shared" si="0"/>
        <v>1900000</v>
      </c>
      <c r="Q27" s="12"/>
      <c r="R27" s="2">
        <f>P31</f>
        <v>42900000</v>
      </c>
    </row>
    <row r="28" spans="1:19">
      <c r="A28" s="8">
        <v>22</v>
      </c>
      <c r="B28" s="11" t="s">
        <v>40</v>
      </c>
      <c r="C28" s="12">
        <v>0</v>
      </c>
      <c r="D28" s="12">
        <v>100000</v>
      </c>
      <c r="E28" s="12">
        <v>100000</v>
      </c>
      <c r="F28" s="12">
        <v>100000</v>
      </c>
      <c r="G28" s="12">
        <v>100000</v>
      </c>
      <c r="H28" s="12">
        <v>100000</v>
      </c>
      <c r="I28" s="12">
        <v>100000</v>
      </c>
      <c r="J28" s="12">
        <v>100000</v>
      </c>
      <c r="K28" s="12">
        <v>100000</v>
      </c>
      <c r="L28" s="43">
        <v>100000</v>
      </c>
      <c r="M28" s="43">
        <v>100000</v>
      </c>
      <c r="N28" s="43">
        <v>0</v>
      </c>
      <c r="O28" s="43">
        <v>100000</v>
      </c>
      <c r="P28" s="43">
        <f t="shared" si="0"/>
        <v>1100000</v>
      </c>
      <c r="Q28" s="44"/>
      <c r="R28" s="2">
        <v>2730000</v>
      </c>
      <c r="S28" s="1">
        <v>70000</v>
      </c>
    </row>
    <row r="29" spans="1:19">
      <c r="A29" s="8">
        <v>23</v>
      </c>
      <c r="B29" s="11" t="s">
        <v>41</v>
      </c>
      <c r="C29" s="12">
        <v>0</v>
      </c>
      <c r="D29" s="12">
        <v>100000</v>
      </c>
      <c r="E29" s="12">
        <v>100000</v>
      </c>
      <c r="F29" s="12">
        <v>100000</v>
      </c>
      <c r="G29" s="12">
        <v>100000</v>
      </c>
      <c r="H29" s="12">
        <v>100000</v>
      </c>
      <c r="I29" s="12">
        <v>100000</v>
      </c>
      <c r="J29" s="12">
        <v>100000</v>
      </c>
      <c r="K29" s="12">
        <v>100000</v>
      </c>
      <c r="L29" s="43">
        <v>100000</v>
      </c>
      <c r="M29" s="43">
        <v>100000</v>
      </c>
      <c r="N29" s="43">
        <v>0</v>
      </c>
      <c r="O29" s="43">
        <v>100000</v>
      </c>
      <c r="P29" s="43">
        <f t="shared" si="0"/>
        <v>1100000</v>
      </c>
      <c r="Q29" s="44"/>
      <c r="R29" s="2">
        <f>SUM(R27:R28)</f>
        <v>45630000</v>
      </c>
    </row>
    <row r="30" spans="1:19">
      <c r="A30" s="8">
        <v>24</v>
      </c>
      <c r="B30" s="11" t="s">
        <v>42</v>
      </c>
      <c r="C30" s="12"/>
      <c r="D30" s="12">
        <v>0</v>
      </c>
      <c r="E30" s="12">
        <v>0</v>
      </c>
      <c r="F30" s="12">
        <v>0</v>
      </c>
      <c r="G30" s="12">
        <v>100000</v>
      </c>
      <c r="H30" s="12">
        <v>100000</v>
      </c>
      <c r="I30" s="12">
        <v>100000</v>
      </c>
      <c r="J30" s="12">
        <v>100000</v>
      </c>
      <c r="K30" s="12">
        <v>100000</v>
      </c>
      <c r="L30" s="43">
        <v>100000</v>
      </c>
      <c r="M30" s="43">
        <v>100000</v>
      </c>
      <c r="N30" s="43">
        <v>0</v>
      </c>
      <c r="O30" s="43">
        <v>100000</v>
      </c>
      <c r="P30" s="45">
        <f>SUM(G30:O30)</f>
        <v>800000</v>
      </c>
      <c r="Q30" s="44"/>
      <c r="R30" s="2"/>
    </row>
    <row r="31" spans="1:19" s="30" customFormat="1" ht="36" customHeight="1">
      <c r="A31" s="46"/>
      <c r="B31" s="47" t="s">
        <v>43</v>
      </c>
      <c r="C31" s="47">
        <f>SUM(C7:C30)</f>
        <v>16800000</v>
      </c>
      <c r="D31" s="48">
        <f t="shared" ref="D31:P31" si="1">SUM(D7:D30)</f>
        <v>2300000</v>
      </c>
      <c r="E31" s="48">
        <f t="shared" si="1"/>
        <v>2300000</v>
      </c>
      <c r="F31" s="48">
        <f t="shared" si="1"/>
        <v>2300000</v>
      </c>
      <c r="G31" s="49">
        <f t="shared" si="1"/>
        <v>2400000</v>
      </c>
      <c r="H31" s="49">
        <f t="shared" si="1"/>
        <v>2400000</v>
      </c>
      <c r="I31" s="49">
        <f t="shared" si="1"/>
        <v>2400000</v>
      </c>
      <c r="J31" s="49">
        <f t="shared" si="1"/>
        <v>2400000</v>
      </c>
      <c r="K31" s="49">
        <f t="shared" si="1"/>
        <v>2400000</v>
      </c>
      <c r="L31" s="49">
        <f t="shared" si="1"/>
        <v>2400000</v>
      </c>
      <c r="M31" s="49">
        <f t="shared" si="1"/>
        <v>2400000</v>
      </c>
      <c r="N31" s="49">
        <f t="shared" si="1"/>
        <v>0</v>
      </c>
      <c r="O31" s="49">
        <f t="shared" si="1"/>
        <v>2400000</v>
      </c>
      <c r="P31" s="48">
        <f t="shared" si="1"/>
        <v>42900000</v>
      </c>
      <c r="Q31" s="47"/>
      <c r="R31" s="50">
        <f>SUM(R29:R30)</f>
        <v>45630000</v>
      </c>
    </row>
    <row r="32" spans="1:19">
      <c r="H32" s="2"/>
    </row>
    <row r="33" spans="8:8">
      <c r="H33" s="2"/>
    </row>
    <row r="34" spans="8:8">
      <c r="H34" s="2"/>
    </row>
    <row r="35" spans="8:8">
      <c r="H35" s="2"/>
    </row>
  </sheetData>
  <mergeCells count="4">
    <mergeCell ref="A4:A5"/>
    <mergeCell ref="B4:B5"/>
    <mergeCell ref="C4:C5"/>
    <mergeCell ref="P4:P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0"/>
  <sheetViews>
    <sheetView topLeftCell="I7" workbookViewId="0">
      <selection activeCell="F4" sqref="F4:Q5"/>
    </sheetView>
  </sheetViews>
  <sheetFormatPr defaultColWidth="9.140625" defaultRowHeight="16.5"/>
  <cols>
    <col min="1" max="2" width="7" style="1" customWidth="1"/>
    <col min="3" max="3" width="32.7109375" style="1" customWidth="1"/>
    <col min="4" max="4" width="18.85546875" style="2" customWidth="1"/>
    <col min="5" max="5" width="18.85546875" style="3" customWidth="1"/>
    <col min="6" max="6" width="17.7109375" style="3" customWidth="1"/>
    <col min="7" max="11" width="14.7109375" style="3" customWidth="1"/>
    <col min="12" max="17" width="15.85546875" style="19" customWidth="1"/>
    <col min="18" max="18" width="20.28515625" style="19" customWidth="1"/>
    <col min="19" max="19" width="18.7109375" style="1" customWidth="1"/>
    <col min="20" max="16384" width="9.140625" style="1"/>
  </cols>
  <sheetData>
    <row r="1" spans="1:19">
      <c r="A1" s="5" t="s">
        <v>0</v>
      </c>
      <c r="B1" s="5"/>
      <c r="C1" s="5"/>
      <c r="D1" s="6"/>
    </row>
    <row r="2" spans="1:19">
      <c r="A2" s="5" t="s">
        <v>1</v>
      </c>
      <c r="B2" s="5"/>
      <c r="C2" s="5"/>
      <c r="D2" s="6"/>
    </row>
    <row r="4" spans="1:19" ht="20.25">
      <c r="A4" s="63" t="s">
        <v>2</v>
      </c>
      <c r="B4" s="64"/>
      <c r="C4" s="56" t="s">
        <v>3</v>
      </c>
      <c r="D4" s="57" t="s">
        <v>4</v>
      </c>
      <c r="E4" s="69" t="s">
        <v>44</v>
      </c>
      <c r="F4" s="67" t="s">
        <v>45</v>
      </c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20"/>
    </row>
    <row r="5" spans="1:19" ht="36.75" customHeight="1">
      <c r="A5" s="65"/>
      <c r="B5" s="66"/>
      <c r="C5" s="56"/>
      <c r="D5" s="58"/>
      <c r="E5" s="70"/>
      <c r="F5" s="67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20"/>
    </row>
    <row r="6" spans="1:19" ht="20.25">
      <c r="A6" s="7"/>
      <c r="B6" s="7"/>
      <c r="C6" s="7"/>
      <c r="D6" s="21"/>
      <c r="E6" s="21"/>
      <c r="F6" s="22">
        <v>20</v>
      </c>
      <c r="G6" s="22">
        <v>21</v>
      </c>
      <c r="H6" s="22">
        <v>22</v>
      </c>
      <c r="I6" s="22">
        <v>23</v>
      </c>
      <c r="J6" s="22">
        <v>24</v>
      </c>
      <c r="K6" s="22">
        <v>25</v>
      </c>
      <c r="L6" s="22">
        <v>26</v>
      </c>
      <c r="M6" s="22">
        <v>27</v>
      </c>
      <c r="N6" s="22">
        <v>28</v>
      </c>
      <c r="O6" s="22">
        <v>29</v>
      </c>
      <c r="P6" s="22">
        <v>30</v>
      </c>
      <c r="Q6" s="22">
        <v>31</v>
      </c>
      <c r="R6" s="61" t="s">
        <v>46</v>
      </c>
      <c r="S6" s="62" t="s">
        <v>47</v>
      </c>
    </row>
    <row r="7" spans="1:19">
      <c r="A7" s="8"/>
      <c r="B7" s="8"/>
      <c r="C7" s="8"/>
      <c r="D7" s="23"/>
      <c r="E7" s="10"/>
      <c r="F7" s="24" t="s">
        <v>48</v>
      </c>
      <c r="G7" s="24" t="s">
        <v>49</v>
      </c>
      <c r="H7" s="24" t="s">
        <v>8</v>
      </c>
      <c r="I7" s="24" t="s">
        <v>50</v>
      </c>
      <c r="J7" s="24" t="s">
        <v>51</v>
      </c>
      <c r="K7" s="24" t="s">
        <v>52</v>
      </c>
      <c r="L7" s="24" t="s">
        <v>53</v>
      </c>
      <c r="M7" s="24" t="s">
        <v>13</v>
      </c>
      <c r="N7" s="24" t="s">
        <v>14</v>
      </c>
      <c r="O7" s="24" t="s">
        <v>15</v>
      </c>
      <c r="P7" s="24" t="s">
        <v>16</v>
      </c>
      <c r="Q7" s="24" t="s">
        <v>17</v>
      </c>
      <c r="R7" s="61"/>
      <c r="S7" s="62"/>
    </row>
    <row r="8" spans="1:19">
      <c r="A8" s="8">
        <v>1</v>
      </c>
      <c r="B8" s="51" t="s">
        <v>54</v>
      </c>
      <c r="C8" s="11" t="s">
        <v>19</v>
      </c>
      <c r="D8" s="12">
        <v>800000</v>
      </c>
      <c r="E8" s="10">
        <v>1100000</v>
      </c>
      <c r="F8" s="10">
        <v>100000</v>
      </c>
      <c r="G8" s="10">
        <v>100000</v>
      </c>
      <c r="H8" s="10">
        <v>100000</v>
      </c>
      <c r="I8" s="10">
        <v>100000</v>
      </c>
      <c r="J8" s="10">
        <v>100000</v>
      </c>
      <c r="K8" s="10">
        <v>100000</v>
      </c>
      <c r="L8" s="10">
        <v>100000</v>
      </c>
      <c r="M8" s="10">
        <v>100000</v>
      </c>
      <c r="N8" s="10">
        <v>100000</v>
      </c>
      <c r="O8" s="10">
        <v>100000</v>
      </c>
      <c r="P8" s="10">
        <v>100000</v>
      </c>
      <c r="Q8" s="10">
        <v>100000</v>
      </c>
      <c r="R8" s="10">
        <f>SUM(F8:Q8)</f>
        <v>1200000</v>
      </c>
      <c r="S8" s="12">
        <f>SUM(D8:Q8)</f>
        <v>3100000</v>
      </c>
    </row>
    <row r="9" spans="1:19">
      <c r="A9" s="8">
        <v>2</v>
      </c>
      <c r="B9" s="51" t="s">
        <v>55</v>
      </c>
      <c r="C9" s="11" t="s">
        <v>20</v>
      </c>
      <c r="D9" s="12">
        <v>800000</v>
      </c>
      <c r="E9" s="10">
        <v>1100000</v>
      </c>
      <c r="F9" s="10">
        <v>100000</v>
      </c>
      <c r="G9" s="10">
        <v>100000</v>
      </c>
      <c r="H9" s="10">
        <v>100000</v>
      </c>
      <c r="I9" s="10">
        <v>100000</v>
      </c>
      <c r="J9" s="10">
        <v>100000</v>
      </c>
      <c r="K9" s="10">
        <v>100000</v>
      </c>
      <c r="L9" s="10">
        <v>100000</v>
      </c>
      <c r="M9" s="10">
        <v>100000</v>
      </c>
      <c r="N9" s="10">
        <v>100000</v>
      </c>
      <c r="O9" s="10">
        <v>100000</v>
      </c>
      <c r="P9" s="10">
        <v>100000</v>
      </c>
      <c r="Q9" s="10">
        <v>100000</v>
      </c>
      <c r="R9" s="10">
        <f t="shared" ref="R9:R29" si="0">SUM(F9:Q9)</f>
        <v>1200000</v>
      </c>
      <c r="S9" s="12">
        <f t="shared" ref="S9:S29" si="1">SUM(D9:Q9)</f>
        <v>3100000</v>
      </c>
    </row>
    <row r="10" spans="1:19">
      <c r="A10" s="8">
        <v>3</v>
      </c>
      <c r="B10" s="51" t="s">
        <v>56</v>
      </c>
      <c r="C10" s="11" t="s">
        <v>21</v>
      </c>
      <c r="D10" s="12">
        <v>800000</v>
      </c>
      <c r="E10" s="10">
        <v>1100000</v>
      </c>
      <c r="F10" s="10">
        <v>100000</v>
      </c>
      <c r="G10" s="10">
        <v>100000</v>
      </c>
      <c r="H10" s="10">
        <v>100000</v>
      </c>
      <c r="I10" s="10">
        <v>100000</v>
      </c>
      <c r="J10" s="10">
        <v>100000</v>
      </c>
      <c r="K10" s="10">
        <v>100000</v>
      </c>
      <c r="L10" s="10">
        <v>100000</v>
      </c>
      <c r="M10" s="10">
        <v>100000</v>
      </c>
      <c r="N10" s="10">
        <v>100000</v>
      </c>
      <c r="O10" s="10">
        <v>100000</v>
      </c>
      <c r="P10" s="10">
        <v>100000</v>
      </c>
      <c r="Q10" s="10">
        <v>100000</v>
      </c>
      <c r="R10" s="10">
        <f t="shared" si="0"/>
        <v>1200000</v>
      </c>
      <c r="S10" s="12">
        <f t="shared" si="1"/>
        <v>3100000</v>
      </c>
    </row>
    <row r="11" spans="1:19">
      <c r="A11" s="8">
        <v>4</v>
      </c>
      <c r="B11" s="51" t="s">
        <v>57</v>
      </c>
      <c r="C11" s="11" t="s">
        <v>22</v>
      </c>
      <c r="D11" s="12">
        <v>800000</v>
      </c>
      <c r="E11" s="10">
        <v>1100000</v>
      </c>
      <c r="F11" s="10">
        <v>100000</v>
      </c>
      <c r="G11" s="10">
        <v>100000</v>
      </c>
      <c r="H11" s="10">
        <v>100000</v>
      </c>
      <c r="I11" s="10">
        <v>100000</v>
      </c>
      <c r="J11" s="10">
        <v>100000</v>
      </c>
      <c r="K11" s="10">
        <v>100000</v>
      </c>
      <c r="L11" s="10">
        <v>100000</v>
      </c>
      <c r="M11" s="10">
        <v>100000</v>
      </c>
      <c r="N11" s="10">
        <v>100000</v>
      </c>
      <c r="O11" s="10">
        <v>100000</v>
      </c>
      <c r="P11" s="10">
        <v>100000</v>
      </c>
      <c r="Q11" s="10">
        <v>100000</v>
      </c>
      <c r="R11" s="10">
        <f t="shared" si="0"/>
        <v>1200000</v>
      </c>
      <c r="S11" s="12">
        <f t="shared" si="1"/>
        <v>3100000</v>
      </c>
    </row>
    <row r="12" spans="1:19">
      <c r="A12" s="8">
        <v>5</v>
      </c>
      <c r="B12" s="51" t="s">
        <v>58</v>
      </c>
      <c r="C12" s="11" t="s">
        <v>23</v>
      </c>
      <c r="D12" s="12">
        <v>800000</v>
      </c>
      <c r="E12" s="10">
        <v>1100000</v>
      </c>
      <c r="F12" s="10">
        <v>100000</v>
      </c>
      <c r="G12" s="10">
        <v>100000</v>
      </c>
      <c r="H12" s="10">
        <v>100000</v>
      </c>
      <c r="I12" s="10">
        <v>100000</v>
      </c>
      <c r="J12" s="10">
        <v>100000</v>
      </c>
      <c r="K12" s="10">
        <v>100000</v>
      </c>
      <c r="L12" s="10">
        <v>100000</v>
      </c>
      <c r="M12" s="10">
        <v>100000</v>
      </c>
      <c r="N12" s="10">
        <v>100000</v>
      </c>
      <c r="O12" s="10">
        <v>100000</v>
      </c>
      <c r="P12" s="10">
        <v>100000</v>
      </c>
      <c r="Q12" s="10">
        <v>100000</v>
      </c>
      <c r="R12" s="10">
        <f t="shared" si="0"/>
        <v>1200000</v>
      </c>
      <c r="S12" s="12">
        <f t="shared" si="1"/>
        <v>3100000</v>
      </c>
    </row>
    <row r="13" spans="1:19">
      <c r="A13" s="8">
        <v>6</v>
      </c>
      <c r="B13" s="51" t="s">
        <v>59</v>
      </c>
      <c r="C13" s="11" t="s">
        <v>25</v>
      </c>
      <c r="D13" s="12">
        <v>800000</v>
      </c>
      <c r="E13" s="10">
        <v>1100000</v>
      </c>
      <c r="F13" s="10">
        <v>100000</v>
      </c>
      <c r="G13" s="10">
        <v>100000</v>
      </c>
      <c r="H13" s="10">
        <v>100000</v>
      </c>
      <c r="I13" s="10">
        <v>100000</v>
      </c>
      <c r="J13" s="10">
        <v>100000</v>
      </c>
      <c r="K13" s="10">
        <v>100000</v>
      </c>
      <c r="L13" s="10">
        <v>100000</v>
      </c>
      <c r="M13" s="10">
        <v>100000</v>
      </c>
      <c r="N13" s="10">
        <v>100000</v>
      </c>
      <c r="O13" s="10">
        <v>100000</v>
      </c>
      <c r="P13" s="10">
        <v>100000</v>
      </c>
      <c r="Q13" s="10">
        <v>100000</v>
      </c>
      <c r="R13" s="10">
        <f t="shared" si="0"/>
        <v>1200000</v>
      </c>
      <c r="S13" s="12">
        <f t="shared" si="1"/>
        <v>3100000</v>
      </c>
    </row>
    <row r="14" spans="1:19">
      <c r="A14" s="8">
        <v>7</v>
      </c>
      <c r="B14" s="51" t="s">
        <v>60</v>
      </c>
      <c r="C14" s="11" t="s">
        <v>26</v>
      </c>
      <c r="D14" s="12">
        <v>800000</v>
      </c>
      <c r="E14" s="10">
        <v>1100000</v>
      </c>
      <c r="F14" s="10">
        <v>100000</v>
      </c>
      <c r="G14" s="10">
        <v>100000</v>
      </c>
      <c r="H14" s="10">
        <v>100000</v>
      </c>
      <c r="I14" s="10">
        <v>100000</v>
      </c>
      <c r="J14" s="10">
        <v>100000</v>
      </c>
      <c r="K14" s="10">
        <v>100000</v>
      </c>
      <c r="L14" s="10">
        <v>100000</v>
      </c>
      <c r="M14" s="10">
        <v>100000</v>
      </c>
      <c r="N14" s="10">
        <v>100000</v>
      </c>
      <c r="O14" s="10">
        <v>100000</v>
      </c>
      <c r="P14" s="10">
        <v>100000</v>
      </c>
      <c r="Q14" s="10">
        <v>100000</v>
      </c>
      <c r="R14" s="10">
        <f t="shared" si="0"/>
        <v>1200000</v>
      </c>
      <c r="S14" s="12">
        <f t="shared" si="1"/>
        <v>3100000</v>
      </c>
    </row>
    <row r="15" spans="1:19">
      <c r="A15" s="8">
        <v>8</v>
      </c>
      <c r="B15" s="51" t="s">
        <v>61</v>
      </c>
      <c r="C15" s="11" t="s">
        <v>27</v>
      </c>
      <c r="D15" s="12">
        <v>800000</v>
      </c>
      <c r="E15" s="10">
        <v>1100000</v>
      </c>
      <c r="F15" s="10">
        <v>100000</v>
      </c>
      <c r="G15" s="10">
        <v>100000</v>
      </c>
      <c r="H15" s="10">
        <v>100000</v>
      </c>
      <c r="I15" s="10">
        <v>100000</v>
      </c>
      <c r="J15" s="10">
        <v>100000</v>
      </c>
      <c r="K15" s="10">
        <v>100000</v>
      </c>
      <c r="L15" s="10">
        <v>100000</v>
      </c>
      <c r="M15" s="10">
        <v>100000</v>
      </c>
      <c r="N15" s="10">
        <v>100000</v>
      </c>
      <c r="O15" s="10">
        <v>100000</v>
      </c>
      <c r="P15" s="10">
        <v>100000</v>
      </c>
      <c r="Q15" s="10">
        <v>100000</v>
      </c>
      <c r="R15" s="10">
        <f t="shared" si="0"/>
        <v>1200000</v>
      </c>
      <c r="S15" s="12">
        <f t="shared" si="1"/>
        <v>3100000</v>
      </c>
    </row>
    <row r="16" spans="1:19">
      <c r="A16" s="8">
        <v>9</v>
      </c>
      <c r="B16" s="51" t="s">
        <v>62</v>
      </c>
      <c r="C16" s="11" t="s">
        <v>28</v>
      </c>
      <c r="D16" s="12">
        <v>800000</v>
      </c>
      <c r="E16" s="10">
        <v>1100000</v>
      </c>
      <c r="F16" s="10">
        <v>100000</v>
      </c>
      <c r="G16" s="10">
        <v>100000</v>
      </c>
      <c r="H16" s="10">
        <v>100000</v>
      </c>
      <c r="I16" s="10">
        <v>100000</v>
      </c>
      <c r="J16" s="10">
        <v>100000</v>
      </c>
      <c r="K16" s="10">
        <v>100000</v>
      </c>
      <c r="L16" s="10">
        <v>100000</v>
      </c>
      <c r="M16" s="10">
        <v>100000</v>
      </c>
      <c r="N16" s="10">
        <v>100000</v>
      </c>
      <c r="O16" s="10">
        <v>100000</v>
      </c>
      <c r="P16" s="10">
        <v>100000</v>
      </c>
      <c r="Q16" s="10">
        <v>100000</v>
      </c>
      <c r="R16" s="10">
        <f t="shared" si="0"/>
        <v>1200000</v>
      </c>
      <c r="S16" s="12">
        <f t="shared" si="1"/>
        <v>3100000</v>
      </c>
    </row>
    <row r="17" spans="1:19">
      <c r="A17" s="8">
        <v>10</v>
      </c>
      <c r="B17" s="51" t="s">
        <v>63</v>
      </c>
      <c r="C17" s="11" t="s">
        <v>29</v>
      </c>
      <c r="D17" s="12">
        <v>800000</v>
      </c>
      <c r="E17" s="10">
        <v>1100000</v>
      </c>
      <c r="F17" s="10">
        <v>100000</v>
      </c>
      <c r="G17" s="10">
        <v>100000</v>
      </c>
      <c r="H17" s="10">
        <v>100000</v>
      </c>
      <c r="I17" s="10">
        <v>100000</v>
      </c>
      <c r="J17" s="10">
        <v>100000</v>
      </c>
      <c r="K17" s="10">
        <v>100000</v>
      </c>
      <c r="L17" s="10">
        <v>100000</v>
      </c>
      <c r="M17" s="10">
        <v>100000</v>
      </c>
      <c r="N17" s="10">
        <v>100000</v>
      </c>
      <c r="O17" s="10">
        <v>100000</v>
      </c>
      <c r="P17" s="10">
        <v>100000</v>
      </c>
      <c r="Q17" s="10">
        <v>100000</v>
      </c>
      <c r="R17" s="10">
        <f t="shared" si="0"/>
        <v>1200000</v>
      </c>
      <c r="S17" s="12">
        <f t="shared" si="1"/>
        <v>3100000</v>
      </c>
    </row>
    <row r="18" spans="1:19">
      <c r="A18" s="8">
        <v>11</v>
      </c>
      <c r="B18" s="51" t="s">
        <v>64</v>
      </c>
      <c r="C18" s="11" t="s">
        <v>30</v>
      </c>
      <c r="D18" s="12">
        <v>800000</v>
      </c>
      <c r="E18" s="10">
        <v>1100000</v>
      </c>
      <c r="F18" s="10">
        <v>100000</v>
      </c>
      <c r="G18" s="10">
        <v>100000</v>
      </c>
      <c r="H18" s="10">
        <v>100000</v>
      </c>
      <c r="I18" s="10">
        <v>100000</v>
      </c>
      <c r="J18" s="10">
        <v>100000</v>
      </c>
      <c r="K18" s="10">
        <v>100000</v>
      </c>
      <c r="L18" s="10">
        <v>100000</v>
      </c>
      <c r="M18" s="10">
        <v>100000</v>
      </c>
      <c r="N18" s="10">
        <v>100000</v>
      </c>
      <c r="O18" s="10">
        <v>100000</v>
      </c>
      <c r="P18" s="10">
        <v>100000</v>
      </c>
      <c r="Q18" s="10">
        <v>100000</v>
      </c>
      <c r="R18" s="10">
        <f t="shared" si="0"/>
        <v>1200000</v>
      </c>
      <c r="S18" s="12">
        <f t="shared" si="1"/>
        <v>3100000</v>
      </c>
    </row>
    <row r="19" spans="1:19">
      <c r="A19" s="8">
        <v>12</v>
      </c>
      <c r="B19" s="51" t="s">
        <v>65</v>
      </c>
      <c r="C19" s="11" t="s">
        <v>32</v>
      </c>
      <c r="D19" s="12">
        <v>800000</v>
      </c>
      <c r="E19" s="10">
        <v>1100000</v>
      </c>
      <c r="F19" s="10">
        <v>100000</v>
      </c>
      <c r="G19" s="10">
        <v>100000</v>
      </c>
      <c r="H19" s="10">
        <v>100000</v>
      </c>
      <c r="I19" s="10">
        <v>100000</v>
      </c>
      <c r="J19" s="10">
        <v>100000</v>
      </c>
      <c r="K19" s="10">
        <v>100000</v>
      </c>
      <c r="L19" s="10">
        <v>100000</v>
      </c>
      <c r="M19" s="10">
        <v>100000</v>
      </c>
      <c r="N19" s="10">
        <v>100000</v>
      </c>
      <c r="O19" s="10">
        <v>100000</v>
      </c>
      <c r="P19" s="10">
        <v>100000</v>
      </c>
      <c r="Q19" s="10">
        <v>100000</v>
      </c>
      <c r="R19" s="10">
        <f t="shared" si="0"/>
        <v>1200000</v>
      </c>
      <c r="S19" s="12">
        <f t="shared" si="1"/>
        <v>3100000</v>
      </c>
    </row>
    <row r="20" spans="1:19">
      <c r="A20" s="8">
        <v>13</v>
      </c>
      <c r="B20" s="51" t="s">
        <v>66</v>
      </c>
      <c r="C20" s="11" t="s">
        <v>33</v>
      </c>
      <c r="D20" s="12">
        <v>800000</v>
      </c>
      <c r="E20" s="10">
        <v>1100000</v>
      </c>
      <c r="F20" s="10">
        <v>100000</v>
      </c>
      <c r="G20" s="10">
        <v>100000</v>
      </c>
      <c r="H20" s="10">
        <v>100000</v>
      </c>
      <c r="I20" s="10">
        <v>100000</v>
      </c>
      <c r="J20" s="10">
        <v>100000</v>
      </c>
      <c r="K20" s="10">
        <v>100000</v>
      </c>
      <c r="L20" s="10">
        <v>100000</v>
      </c>
      <c r="M20" s="10">
        <v>100000</v>
      </c>
      <c r="N20" s="10">
        <v>100000</v>
      </c>
      <c r="O20" s="10">
        <v>100000</v>
      </c>
      <c r="P20" s="10">
        <v>100000</v>
      </c>
      <c r="Q20" s="10">
        <v>100000</v>
      </c>
      <c r="R20" s="10">
        <f t="shared" si="0"/>
        <v>1200000</v>
      </c>
      <c r="S20" s="12">
        <f t="shared" si="1"/>
        <v>3100000</v>
      </c>
    </row>
    <row r="21" spans="1:19">
      <c r="A21" s="8">
        <v>14</v>
      </c>
      <c r="B21" s="51" t="s">
        <v>67</v>
      </c>
      <c r="C21" s="11" t="s">
        <v>34</v>
      </c>
      <c r="D21" s="12">
        <v>800000</v>
      </c>
      <c r="E21" s="10">
        <v>1100000</v>
      </c>
      <c r="F21" s="10">
        <v>100000</v>
      </c>
      <c r="G21" s="10">
        <v>100000</v>
      </c>
      <c r="H21" s="10">
        <v>100000</v>
      </c>
      <c r="I21" s="10">
        <v>100000</v>
      </c>
      <c r="J21" s="10">
        <v>100000</v>
      </c>
      <c r="K21" s="10">
        <v>100000</v>
      </c>
      <c r="L21" s="10">
        <v>100000</v>
      </c>
      <c r="M21" s="10">
        <v>100000</v>
      </c>
      <c r="N21" s="10">
        <v>100000</v>
      </c>
      <c r="O21" s="10">
        <v>100000</v>
      </c>
      <c r="P21" s="10">
        <v>100000</v>
      </c>
      <c r="Q21" s="10">
        <v>100000</v>
      </c>
      <c r="R21" s="10">
        <f t="shared" si="0"/>
        <v>1200000</v>
      </c>
      <c r="S21" s="12">
        <f t="shared" si="1"/>
        <v>3100000</v>
      </c>
    </row>
    <row r="22" spans="1:19">
      <c r="A22" s="8">
        <v>15</v>
      </c>
      <c r="B22" s="51" t="s">
        <v>68</v>
      </c>
      <c r="C22" s="11" t="s">
        <v>35</v>
      </c>
      <c r="D22" s="12">
        <v>800000</v>
      </c>
      <c r="E22" s="10">
        <v>1100000</v>
      </c>
      <c r="F22" s="10">
        <v>100000</v>
      </c>
      <c r="G22" s="10">
        <v>100000</v>
      </c>
      <c r="H22" s="10">
        <v>100000</v>
      </c>
      <c r="I22" s="10">
        <v>100000</v>
      </c>
      <c r="J22" s="10">
        <v>100000</v>
      </c>
      <c r="K22" s="10">
        <v>100000</v>
      </c>
      <c r="L22" s="10">
        <v>100000</v>
      </c>
      <c r="M22" s="10">
        <v>100000</v>
      </c>
      <c r="N22" s="10">
        <v>100000</v>
      </c>
      <c r="O22" s="10">
        <v>100000</v>
      </c>
      <c r="P22" s="10">
        <v>100000</v>
      </c>
      <c r="Q22" s="10">
        <v>100000</v>
      </c>
      <c r="R22" s="10">
        <f t="shared" si="0"/>
        <v>1200000</v>
      </c>
      <c r="S22" s="12">
        <f t="shared" si="1"/>
        <v>3100000</v>
      </c>
    </row>
    <row r="23" spans="1:19">
      <c r="A23" s="8">
        <v>16</v>
      </c>
      <c r="B23" s="51" t="s">
        <v>69</v>
      </c>
      <c r="C23" s="11" t="s">
        <v>36</v>
      </c>
      <c r="D23" s="12">
        <v>800000</v>
      </c>
      <c r="E23" s="10">
        <v>1100000</v>
      </c>
      <c r="F23" s="10">
        <v>100000</v>
      </c>
      <c r="G23" s="10">
        <v>100000</v>
      </c>
      <c r="H23" s="10">
        <v>100000</v>
      </c>
      <c r="I23" s="10">
        <v>100000</v>
      </c>
      <c r="J23" s="10">
        <v>100000</v>
      </c>
      <c r="K23" s="10">
        <v>100000</v>
      </c>
      <c r="L23" s="10">
        <v>100000</v>
      </c>
      <c r="M23" s="10">
        <v>100000</v>
      </c>
      <c r="N23" s="10">
        <v>100000</v>
      </c>
      <c r="O23" s="10">
        <v>100000</v>
      </c>
      <c r="P23" s="10">
        <v>100000</v>
      </c>
      <c r="Q23" s="10">
        <v>100000</v>
      </c>
      <c r="R23" s="10">
        <f t="shared" si="0"/>
        <v>1200000</v>
      </c>
      <c r="S23" s="12">
        <f t="shared" si="1"/>
        <v>3100000</v>
      </c>
    </row>
    <row r="24" spans="1:19">
      <c r="A24" s="8">
        <v>17</v>
      </c>
      <c r="B24" s="51" t="s">
        <v>70</v>
      </c>
      <c r="C24" s="11" t="s">
        <v>37</v>
      </c>
      <c r="D24" s="12">
        <v>800000</v>
      </c>
      <c r="E24" s="10">
        <v>1100000</v>
      </c>
      <c r="F24" s="10">
        <v>100000</v>
      </c>
      <c r="G24" s="10">
        <v>100000</v>
      </c>
      <c r="H24" s="10">
        <v>100000</v>
      </c>
      <c r="I24" s="10">
        <v>100000</v>
      </c>
      <c r="J24" s="10">
        <v>100000</v>
      </c>
      <c r="K24" s="10">
        <v>100000</v>
      </c>
      <c r="L24" s="10">
        <v>100000</v>
      </c>
      <c r="M24" s="10">
        <v>100000</v>
      </c>
      <c r="N24" s="10">
        <v>100000</v>
      </c>
      <c r="O24" s="10">
        <v>100000</v>
      </c>
      <c r="P24" s="10">
        <v>100000</v>
      </c>
      <c r="Q24" s="10">
        <v>100000</v>
      </c>
      <c r="R24" s="10">
        <f t="shared" si="0"/>
        <v>1200000</v>
      </c>
      <c r="S24" s="12">
        <f t="shared" si="1"/>
        <v>3100000</v>
      </c>
    </row>
    <row r="25" spans="1:19">
      <c r="A25" s="8">
        <v>18</v>
      </c>
      <c r="B25" s="51" t="s">
        <v>71</v>
      </c>
      <c r="C25" s="11" t="s">
        <v>38</v>
      </c>
      <c r="D25" s="12">
        <v>800000</v>
      </c>
      <c r="E25" s="10">
        <v>1100000</v>
      </c>
      <c r="F25" s="10">
        <v>100000</v>
      </c>
      <c r="G25" s="10">
        <v>100000</v>
      </c>
      <c r="H25" s="10">
        <v>100000</v>
      </c>
      <c r="I25" s="10">
        <v>100000</v>
      </c>
      <c r="J25" s="10">
        <v>100000</v>
      </c>
      <c r="K25" s="10">
        <v>100000</v>
      </c>
      <c r="L25" s="10">
        <v>100000</v>
      </c>
      <c r="M25" s="10">
        <v>100000</v>
      </c>
      <c r="N25" s="10">
        <v>100000</v>
      </c>
      <c r="O25" s="10">
        <v>100000</v>
      </c>
      <c r="P25" s="10">
        <v>100000</v>
      </c>
      <c r="Q25" s="10">
        <v>100000</v>
      </c>
      <c r="R25" s="10">
        <f t="shared" si="0"/>
        <v>1200000</v>
      </c>
      <c r="S25" s="12">
        <f t="shared" si="1"/>
        <v>3100000</v>
      </c>
    </row>
    <row r="26" spans="1:19">
      <c r="A26" s="8">
        <v>19</v>
      </c>
      <c r="B26" s="51" t="s">
        <v>72</v>
      </c>
      <c r="C26" s="11" t="s">
        <v>39</v>
      </c>
      <c r="D26" s="12">
        <v>800000</v>
      </c>
      <c r="E26" s="10">
        <v>1100000</v>
      </c>
      <c r="F26" s="10">
        <v>100000</v>
      </c>
      <c r="G26" s="10">
        <v>100000</v>
      </c>
      <c r="H26" s="10">
        <v>100000</v>
      </c>
      <c r="I26" s="10">
        <v>100000</v>
      </c>
      <c r="J26" s="10">
        <v>100000</v>
      </c>
      <c r="K26" s="10">
        <v>100000</v>
      </c>
      <c r="L26" s="10">
        <v>100000</v>
      </c>
      <c r="M26" s="10">
        <v>100000</v>
      </c>
      <c r="N26" s="10">
        <v>100000</v>
      </c>
      <c r="O26" s="10">
        <v>100000</v>
      </c>
      <c r="P26" s="10">
        <v>100000</v>
      </c>
      <c r="Q26" s="10">
        <v>100000</v>
      </c>
      <c r="R26" s="10">
        <f t="shared" si="0"/>
        <v>1200000</v>
      </c>
      <c r="S26" s="12">
        <f t="shared" si="1"/>
        <v>3100000</v>
      </c>
    </row>
    <row r="27" spans="1:19">
      <c r="A27" s="8">
        <v>20</v>
      </c>
      <c r="B27" s="51" t="s">
        <v>73</v>
      </c>
      <c r="C27" s="11" t="s">
        <v>40</v>
      </c>
      <c r="D27" s="12">
        <v>0</v>
      </c>
      <c r="E27" s="10">
        <v>1100000</v>
      </c>
      <c r="F27" s="10">
        <v>100000</v>
      </c>
      <c r="G27" s="10">
        <v>100000</v>
      </c>
      <c r="H27" s="10">
        <v>100000</v>
      </c>
      <c r="I27" s="10">
        <v>100000</v>
      </c>
      <c r="J27" s="10">
        <v>100000</v>
      </c>
      <c r="K27" s="10">
        <v>100000</v>
      </c>
      <c r="L27" s="10">
        <v>100000</v>
      </c>
      <c r="M27" s="10">
        <v>100000</v>
      </c>
      <c r="N27" s="10">
        <v>100000</v>
      </c>
      <c r="O27" s="10">
        <v>100000</v>
      </c>
      <c r="P27" s="10">
        <v>100000</v>
      </c>
      <c r="Q27" s="10">
        <v>100000</v>
      </c>
      <c r="R27" s="10">
        <f t="shared" si="0"/>
        <v>1200000</v>
      </c>
      <c r="S27" s="12">
        <f t="shared" si="1"/>
        <v>2300000</v>
      </c>
    </row>
    <row r="28" spans="1:19">
      <c r="A28" s="8">
        <v>21</v>
      </c>
      <c r="B28" s="51" t="s">
        <v>74</v>
      </c>
      <c r="C28" s="11" t="s">
        <v>41</v>
      </c>
      <c r="D28" s="12">
        <v>0</v>
      </c>
      <c r="E28" s="10">
        <v>1100000</v>
      </c>
      <c r="F28" s="10">
        <v>100000</v>
      </c>
      <c r="G28" s="10">
        <v>100000</v>
      </c>
      <c r="H28" s="10">
        <v>100000</v>
      </c>
      <c r="I28" s="10">
        <v>100000</v>
      </c>
      <c r="J28" s="10">
        <v>100000</v>
      </c>
      <c r="K28" s="10">
        <v>100000</v>
      </c>
      <c r="L28" s="10">
        <v>100000</v>
      </c>
      <c r="M28" s="10">
        <v>100000</v>
      </c>
      <c r="N28" s="10">
        <v>100000</v>
      </c>
      <c r="O28" s="10">
        <v>100000</v>
      </c>
      <c r="P28" s="10">
        <v>100000</v>
      </c>
      <c r="Q28" s="10">
        <v>100000</v>
      </c>
      <c r="R28" s="10">
        <f t="shared" si="0"/>
        <v>1200000</v>
      </c>
      <c r="S28" s="12">
        <f t="shared" si="1"/>
        <v>2300000</v>
      </c>
    </row>
    <row r="29" spans="1:19">
      <c r="A29" s="8">
        <v>22</v>
      </c>
      <c r="B29" s="51" t="s">
        <v>75</v>
      </c>
      <c r="C29" s="11" t="s">
        <v>42</v>
      </c>
      <c r="D29" s="12">
        <v>0</v>
      </c>
      <c r="E29" s="10">
        <v>800000</v>
      </c>
      <c r="F29" s="10">
        <v>100000</v>
      </c>
      <c r="G29" s="10">
        <v>100000</v>
      </c>
      <c r="H29" s="10">
        <v>100000</v>
      </c>
      <c r="I29" s="10">
        <v>100000</v>
      </c>
      <c r="J29" s="10">
        <v>100000</v>
      </c>
      <c r="K29" s="10">
        <v>100000</v>
      </c>
      <c r="L29" s="10">
        <v>100000</v>
      </c>
      <c r="M29" s="10">
        <v>100000</v>
      </c>
      <c r="N29" s="10">
        <v>100000</v>
      </c>
      <c r="O29" s="10">
        <v>100000</v>
      </c>
      <c r="P29" s="10">
        <v>100000</v>
      </c>
      <c r="Q29" s="10">
        <v>100000</v>
      </c>
      <c r="R29" s="10">
        <f t="shared" si="0"/>
        <v>1200000</v>
      </c>
      <c r="S29" s="12">
        <f t="shared" si="1"/>
        <v>2000000</v>
      </c>
    </row>
    <row r="30" spans="1:19" s="18" customFormat="1" ht="15.75">
      <c r="A30" s="13"/>
      <c r="B30" s="13"/>
      <c r="C30" s="14" t="s">
        <v>43</v>
      </c>
      <c r="D30" s="14">
        <f t="shared" ref="D30:S30" si="2">SUM(D8:D29)</f>
        <v>15200000</v>
      </c>
      <c r="E30" s="25">
        <f t="shared" si="2"/>
        <v>23900000</v>
      </c>
      <c r="F30" s="25">
        <f t="shared" si="2"/>
        <v>2200000</v>
      </c>
      <c r="G30" s="25">
        <f t="shared" si="2"/>
        <v>2200000</v>
      </c>
      <c r="H30" s="25">
        <f t="shared" si="2"/>
        <v>2200000</v>
      </c>
      <c r="I30" s="25">
        <f t="shared" si="2"/>
        <v>2200000</v>
      </c>
      <c r="J30" s="25">
        <f t="shared" si="2"/>
        <v>2200000</v>
      </c>
      <c r="K30" s="25">
        <f t="shared" si="2"/>
        <v>2200000</v>
      </c>
      <c r="L30" s="25">
        <f t="shared" si="2"/>
        <v>2200000</v>
      </c>
      <c r="M30" s="25">
        <f t="shared" si="2"/>
        <v>2200000</v>
      </c>
      <c r="N30" s="25">
        <f t="shared" si="2"/>
        <v>2200000</v>
      </c>
      <c r="O30" s="25">
        <f t="shared" si="2"/>
        <v>2200000</v>
      </c>
      <c r="P30" s="25">
        <f t="shared" si="2"/>
        <v>2200000</v>
      </c>
      <c r="Q30" s="25">
        <f t="shared" si="2"/>
        <v>2200000</v>
      </c>
      <c r="R30" s="25">
        <f t="shared" si="2"/>
        <v>26400000</v>
      </c>
      <c r="S30" s="14">
        <f t="shared" si="2"/>
        <v>65500000</v>
      </c>
    </row>
  </sheetData>
  <mergeCells count="7">
    <mergeCell ref="R6:R7"/>
    <mergeCell ref="S6:S7"/>
    <mergeCell ref="A4:B5"/>
    <mergeCell ref="F4:Q5"/>
    <mergeCell ref="C4:C5"/>
    <mergeCell ref="D4:D5"/>
    <mergeCell ref="E4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9"/>
  <sheetViews>
    <sheetView workbookViewId="0">
      <selection activeCell="L18" sqref="L18"/>
    </sheetView>
  </sheetViews>
  <sheetFormatPr defaultColWidth="9.140625" defaultRowHeight="16.5"/>
  <cols>
    <col min="1" max="2" width="7" style="1" customWidth="1"/>
    <col min="3" max="3" width="32.7109375" style="1" customWidth="1"/>
    <col min="4" max="4" width="21.42578125" style="2" customWidth="1"/>
    <col min="5" max="5" width="17.7109375" style="3" customWidth="1"/>
    <col min="6" max="10" width="14.7109375" style="3" customWidth="1"/>
    <col min="11" max="16" width="15.85546875" style="19" customWidth="1"/>
    <col min="17" max="17" width="20.28515625" style="19" customWidth="1"/>
    <col min="18" max="18" width="18.7109375" style="1" customWidth="1"/>
    <col min="19" max="16384" width="9.140625" style="1"/>
  </cols>
  <sheetData>
    <row r="1" spans="1:18">
      <c r="A1" s="5" t="s">
        <v>0</v>
      </c>
      <c r="B1" s="5"/>
      <c r="C1" s="5"/>
      <c r="D1" s="6"/>
    </row>
    <row r="2" spans="1:18">
      <c r="A2" s="5" t="s">
        <v>1</v>
      </c>
      <c r="B2" s="5"/>
      <c r="C2" s="5"/>
      <c r="D2" s="6"/>
    </row>
    <row r="4" spans="1:18" ht="20.25">
      <c r="A4" s="63" t="s">
        <v>2</v>
      </c>
      <c r="B4" s="64"/>
      <c r="C4" s="56" t="s">
        <v>3</v>
      </c>
      <c r="D4" s="57" t="s">
        <v>76</v>
      </c>
      <c r="E4" s="71" t="s">
        <v>77</v>
      </c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20"/>
    </row>
    <row r="5" spans="1:18" ht="26.25" customHeight="1">
      <c r="A5" s="65"/>
      <c r="B5" s="66"/>
      <c r="C5" s="56"/>
      <c r="D5" s="58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20"/>
    </row>
    <row r="6" spans="1:18" ht="20.25">
      <c r="A6" s="7"/>
      <c r="B6" s="7"/>
      <c r="C6" s="7"/>
      <c r="D6" s="21"/>
      <c r="E6" s="22">
        <v>32</v>
      </c>
      <c r="F6" s="22">
        <v>33</v>
      </c>
      <c r="G6" s="22">
        <v>34</v>
      </c>
      <c r="H6" s="22">
        <v>35</v>
      </c>
      <c r="I6" s="22">
        <v>36</v>
      </c>
      <c r="J6" s="22">
        <v>37</v>
      </c>
      <c r="K6" s="22">
        <v>38</v>
      </c>
      <c r="L6" s="22">
        <v>39</v>
      </c>
      <c r="M6" s="22">
        <v>40</v>
      </c>
      <c r="N6" s="22">
        <v>41</v>
      </c>
      <c r="O6" s="22">
        <v>42</v>
      </c>
      <c r="P6" s="22">
        <v>43</v>
      </c>
      <c r="Q6" s="61" t="s">
        <v>79</v>
      </c>
      <c r="R6" s="62" t="s">
        <v>47</v>
      </c>
    </row>
    <row r="7" spans="1:18">
      <c r="A7" s="8"/>
      <c r="B7" s="8"/>
      <c r="C7" s="8"/>
      <c r="D7" s="23"/>
      <c r="E7" s="24" t="s">
        <v>48</v>
      </c>
      <c r="F7" s="24" t="s">
        <v>49</v>
      </c>
      <c r="G7" s="24" t="s">
        <v>8</v>
      </c>
      <c r="H7" s="24" t="s">
        <v>50</v>
      </c>
      <c r="I7" s="24" t="s">
        <v>51</v>
      </c>
      <c r="J7" s="24" t="s">
        <v>52</v>
      </c>
      <c r="K7" s="24" t="s">
        <v>53</v>
      </c>
      <c r="L7" s="24" t="s">
        <v>13</v>
      </c>
      <c r="M7" s="24" t="s">
        <v>14</v>
      </c>
      <c r="N7" s="24" t="s">
        <v>15</v>
      </c>
      <c r="O7" s="24" t="s">
        <v>16</v>
      </c>
      <c r="P7" s="24" t="s">
        <v>17</v>
      </c>
      <c r="Q7" s="61"/>
      <c r="R7" s="62"/>
    </row>
    <row r="8" spans="1:18">
      <c r="A8" s="8">
        <v>1</v>
      </c>
      <c r="B8" s="51" t="s">
        <v>54</v>
      </c>
      <c r="C8" s="11" t="s">
        <v>19</v>
      </c>
      <c r="D8" s="12">
        <v>3100000</v>
      </c>
      <c r="E8" s="10">
        <v>100000</v>
      </c>
      <c r="F8" s="10">
        <v>100000</v>
      </c>
      <c r="G8" s="10">
        <v>100000</v>
      </c>
      <c r="H8" s="10">
        <v>100000</v>
      </c>
      <c r="I8" s="10">
        <v>100000</v>
      </c>
      <c r="J8" s="10">
        <v>100000</v>
      </c>
      <c r="K8" s="10">
        <v>100000</v>
      </c>
      <c r="L8" s="10">
        <v>0</v>
      </c>
      <c r="M8" s="10"/>
      <c r="N8" s="10"/>
      <c r="O8" s="10"/>
      <c r="P8" s="10"/>
      <c r="Q8" s="10">
        <f>SUM(E8:P8)</f>
        <v>700000</v>
      </c>
      <c r="R8" s="12">
        <f>SUM($D$8:$P$8)</f>
        <v>3800000</v>
      </c>
    </row>
    <row r="9" spans="1:18">
      <c r="A9" s="8">
        <v>2</v>
      </c>
      <c r="B9" s="51" t="s">
        <v>55</v>
      </c>
      <c r="C9" s="11" t="s">
        <v>20</v>
      </c>
      <c r="D9" s="12">
        <v>3100000</v>
      </c>
      <c r="E9" s="10">
        <v>100000</v>
      </c>
      <c r="F9" s="10">
        <v>100000</v>
      </c>
      <c r="G9" s="10">
        <v>100000</v>
      </c>
      <c r="H9" s="10">
        <v>100000</v>
      </c>
      <c r="I9" s="10">
        <v>100000</v>
      </c>
      <c r="J9" s="10">
        <v>100000</v>
      </c>
      <c r="K9" s="10">
        <v>100000</v>
      </c>
      <c r="L9" s="10">
        <v>100000</v>
      </c>
      <c r="M9" s="10"/>
      <c r="N9" s="10"/>
      <c r="O9" s="10"/>
      <c r="P9" s="10"/>
      <c r="Q9" s="10">
        <f t="shared" ref="Q9:Q28" si="0">SUM(E9:P9)</f>
        <v>800000</v>
      </c>
      <c r="R9" s="12">
        <f t="shared" ref="R9:R18" si="1">SUM($D$8:$P$8)</f>
        <v>3800000</v>
      </c>
    </row>
    <row r="10" spans="1:18">
      <c r="A10" s="8">
        <v>3</v>
      </c>
      <c r="B10" s="51" t="s">
        <v>56</v>
      </c>
      <c r="C10" s="11" t="s">
        <v>21</v>
      </c>
      <c r="D10" s="12">
        <v>3100000</v>
      </c>
      <c r="E10" s="10">
        <v>100000</v>
      </c>
      <c r="F10" s="10">
        <v>100000</v>
      </c>
      <c r="G10" s="10">
        <v>100000</v>
      </c>
      <c r="H10" s="10">
        <v>100000</v>
      </c>
      <c r="I10" s="10">
        <v>100000</v>
      </c>
      <c r="J10" s="10">
        <v>100000</v>
      </c>
      <c r="K10" s="10">
        <v>100000</v>
      </c>
      <c r="L10" s="10">
        <v>100000</v>
      </c>
      <c r="M10" s="10"/>
      <c r="N10" s="10"/>
      <c r="O10" s="10"/>
      <c r="P10" s="10"/>
      <c r="Q10" s="10">
        <f t="shared" si="0"/>
        <v>800000</v>
      </c>
      <c r="R10" s="12">
        <f t="shared" si="1"/>
        <v>3800000</v>
      </c>
    </row>
    <row r="11" spans="1:18">
      <c r="A11" s="8">
        <v>4</v>
      </c>
      <c r="B11" s="51" t="s">
        <v>57</v>
      </c>
      <c r="C11" s="11" t="s">
        <v>22</v>
      </c>
      <c r="D11" s="12">
        <v>3100000</v>
      </c>
      <c r="E11" s="10">
        <v>100000</v>
      </c>
      <c r="F11" s="10">
        <v>100000</v>
      </c>
      <c r="G11" s="10">
        <v>100000</v>
      </c>
      <c r="H11" s="10">
        <v>100000</v>
      </c>
      <c r="I11" s="10">
        <v>100000</v>
      </c>
      <c r="J11" s="10">
        <v>100000</v>
      </c>
      <c r="K11" s="10">
        <v>100000</v>
      </c>
      <c r="L11" s="10">
        <v>100000</v>
      </c>
      <c r="M11" s="10"/>
      <c r="N11" s="10"/>
      <c r="O11" s="10"/>
      <c r="P11" s="10"/>
      <c r="Q11" s="10">
        <f t="shared" si="0"/>
        <v>800000</v>
      </c>
      <c r="R11" s="12">
        <f t="shared" si="1"/>
        <v>3800000</v>
      </c>
    </row>
    <row r="12" spans="1:18">
      <c r="A12" s="8">
        <v>5</v>
      </c>
      <c r="B12" s="51" t="s">
        <v>58</v>
      </c>
      <c r="C12" s="11" t="s">
        <v>23</v>
      </c>
      <c r="D12" s="12">
        <v>3100000</v>
      </c>
      <c r="E12" s="10">
        <v>100000</v>
      </c>
      <c r="F12" s="10">
        <v>100000</v>
      </c>
      <c r="G12" s="10">
        <v>100000</v>
      </c>
      <c r="H12" s="10">
        <v>100000</v>
      </c>
      <c r="I12" s="10">
        <v>100000</v>
      </c>
      <c r="J12" s="10">
        <v>100000</v>
      </c>
      <c r="K12" s="10">
        <v>100000</v>
      </c>
      <c r="L12" s="10">
        <v>100000</v>
      </c>
      <c r="M12" s="10"/>
      <c r="N12" s="10"/>
      <c r="O12" s="10"/>
      <c r="P12" s="10"/>
      <c r="Q12" s="10">
        <f t="shared" si="0"/>
        <v>800000</v>
      </c>
      <c r="R12" s="12">
        <f t="shared" si="1"/>
        <v>3800000</v>
      </c>
    </row>
    <row r="13" spans="1:18">
      <c r="A13" s="8">
        <v>6</v>
      </c>
      <c r="B13" s="51" t="s">
        <v>59</v>
      </c>
      <c r="C13" s="11" t="s">
        <v>25</v>
      </c>
      <c r="D13" s="12">
        <v>3100000</v>
      </c>
      <c r="E13" s="10">
        <v>100000</v>
      </c>
      <c r="F13" s="10">
        <v>100000</v>
      </c>
      <c r="G13" s="10">
        <v>100000</v>
      </c>
      <c r="H13" s="10">
        <v>100000</v>
      </c>
      <c r="I13" s="10">
        <v>100000</v>
      </c>
      <c r="J13" s="10">
        <v>100000</v>
      </c>
      <c r="K13" s="10">
        <v>100000</v>
      </c>
      <c r="L13" s="10">
        <v>100000</v>
      </c>
      <c r="M13" s="10"/>
      <c r="N13" s="10"/>
      <c r="O13" s="10"/>
      <c r="P13" s="10"/>
      <c r="Q13" s="10">
        <f t="shared" si="0"/>
        <v>800000</v>
      </c>
      <c r="R13" s="12">
        <f t="shared" si="1"/>
        <v>3800000</v>
      </c>
    </row>
    <row r="14" spans="1:18">
      <c r="A14" s="8">
        <v>7</v>
      </c>
      <c r="B14" s="51" t="s">
        <v>60</v>
      </c>
      <c r="C14" s="11" t="s">
        <v>26</v>
      </c>
      <c r="D14" s="12">
        <v>3100000</v>
      </c>
      <c r="E14" s="10">
        <v>100000</v>
      </c>
      <c r="F14" s="10">
        <v>100000</v>
      </c>
      <c r="G14" s="10">
        <v>100000</v>
      </c>
      <c r="H14" s="10">
        <v>100000</v>
      </c>
      <c r="I14" s="10">
        <v>100000</v>
      </c>
      <c r="J14" s="10">
        <v>100000</v>
      </c>
      <c r="K14" s="10">
        <v>100000</v>
      </c>
      <c r="L14" s="10">
        <v>0</v>
      </c>
      <c r="M14" s="10"/>
      <c r="N14" s="10"/>
      <c r="O14" s="10"/>
      <c r="P14" s="10"/>
      <c r="Q14" s="10">
        <f t="shared" si="0"/>
        <v>700000</v>
      </c>
      <c r="R14" s="12">
        <f t="shared" si="1"/>
        <v>3800000</v>
      </c>
    </row>
    <row r="15" spans="1:18">
      <c r="A15" s="8">
        <v>8</v>
      </c>
      <c r="B15" s="51" t="s">
        <v>61</v>
      </c>
      <c r="C15" s="11" t="s">
        <v>27</v>
      </c>
      <c r="D15" s="12">
        <v>3100000</v>
      </c>
      <c r="E15" s="10">
        <v>100000</v>
      </c>
      <c r="F15" s="10">
        <v>100000</v>
      </c>
      <c r="G15" s="10">
        <v>100000</v>
      </c>
      <c r="H15" s="10">
        <v>100000</v>
      </c>
      <c r="I15" s="10">
        <v>100000</v>
      </c>
      <c r="J15" s="10">
        <v>100000</v>
      </c>
      <c r="K15" s="10">
        <v>100000</v>
      </c>
      <c r="L15" s="10">
        <v>100000</v>
      </c>
      <c r="M15" s="10"/>
      <c r="N15" s="10"/>
      <c r="O15" s="10"/>
      <c r="P15" s="10"/>
      <c r="Q15" s="10">
        <f t="shared" si="0"/>
        <v>800000</v>
      </c>
      <c r="R15" s="12">
        <f t="shared" si="1"/>
        <v>3800000</v>
      </c>
    </row>
    <row r="16" spans="1:18">
      <c r="A16" s="8">
        <v>9</v>
      </c>
      <c r="B16" s="51" t="s">
        <v>62</v>
      </c>
      <c r="C16" s="11" t="s">
        <v>28</v>
      </c>
      <c r="D16" s="12">
        <v>3100000</v>
      </c>
      <c r="E16" s="10">
        <v>100000</v>
      </c>
      <c r="F16" s="10">
        <v>100000</v>
      </c>
      <c r="G16" s="10">
        <v>100000</v>
      </c>
      <c r="H16" s="10">
        <v>100000</v>
      </c>
      <c r="I16" s="10">
        <v>100000</v>
      </c>
      <c r="J16" s="10">
        <v>100000</v>
      </c>
      <c r="K16" s="10">
        <v>100000</v>
      </c>
      <c r="L16" s="10">
        <v>100000</v>
      </c>
      <c r="M16" s="10"/>
      <c r="N16" s="10"/>
      <c r="O16" s="10"/>
      <c r="P16" s="10"/>
      <c r="Q16" s="10">
        <f t="shared" si="0"/>
        <v>800000</v>
      </c>
      <c r="R16" s="12">
        <f t="shared" si="1"/>
        <v>3800000</v>
      </c>
    </row>
    <row r="17" spans="1:18">
      <c r="A17" s="8">
        <v>10</v>
      </c>
      <c r="B17" s="51" t="s">
        <v>63</v>
      </c>
      <c r="C17" s="11" t="s">
        <v>29</v>
      </c>
      <c r="D17" s="12">
        <v>3100000</v>
      </c>
      <c r="E17" s="10">
        <v>100000</v>
      </c>
      <c r="F17" s="10">
        <v>100000</v>
      </c>
      <c r="G17" s="10">
        <v>100000</v>
      </c>
      <c r="H17" s="10">
        <v>100000</v>
      </c>
      <c r="I17" s="10">
        <v>100000</v>
      </c>
      <c r="J17" s="10">
        <v>100000</v>
      </c>
      <c r="K17" s="10">
        <v>100000</v>
      </c>
      <c r="L17" s="10">
        <v>100000</v>
      </c>
      <c r="M17" s="10"/>
      <c r="N17" s="10"/>
      <c r="O17" s="10"/>
      <c r="P17" s="10"/>
      <c r="Q17" s="10">
        <f t="shared" si="0"/>
        <v>800000</v>
      </c>
      <c r="R17" s="12">
        <f t="shared" si="1"/>
        <v>3800000</v>
      </c>
    </row>
    <row r="18" spans="1:18">
      <c r="A18" s="8">
        <v>11</v>
      </c>
      <c r="B18" s="51" t="s">
        <v>64</v>
      </c>
      <c r="C18" s="11" t="s">
        <v>30</v>
      </c>
      <c r="D18" s="12">
        <v>3100000</v>
      </c>
      <c r="E18" s="10">
        <v>100000</v>
      </c>
      <c r="F18" s="10">
        <v>100000</v>
      </c>
      <c r="G18" s="10">
        <v>100000</v>
      </c>
      <c r="H18" s="10">
        <v>100000</v>
      </c>
      <c r="I18" s="10">
        <v>100000</v>
      </c>
      <c r="J18" s="10">
        <v>100000</v>
      </c>
      <c r="K18" s="10">
        <v>100000</v>
      </c>
      <c r="L18" s="10">
        <v>0</v>
      </c>
      <c r="M18" s="10"/>
      <c r="N18" s="10"/>
      <c r="O18" s="10"/>
      <c r="P18" s="10"/>
      <c r="Q18" s="10">
        <f t="shared" si="0"/>
        <v>700000</v>
      </c>
      <c r="R18" s="12">
        <f t="shared" si="1"/>
        <v>3800000</v>
      </c>
    </row>
    <row r="19" spans="1:18">
      <c r="A19" s="8">
        <v>12</v>
      </c>
      <c r="B19" s="51" t="s">
        <v>65</v>
      </c>
      <c r="C19" s="11" t="s">
        <v>32</v>
      </c>
      <c r="D19" s="12">
        <v>3100000</v>
      </c>
      <c r="E19" s="10">
        <v>100000</v>
      </c>
      <c r="F19" s="10">
        <v>100000</v>
      </c>
      <c r="G19" s="10">
        <v>100000</v>
      </c>
      <c r="H19" s="10">
        <v>100000</v>
      </c>
      <c r="I19" s="10">
        <v>100000</v>
      </c>
      <c r="J19" s="10">
        <v>100000</v>
      </c>
      <c r="K19" s="10">
        <v>100000</v>
      </c>
      <c r="L19" s="10">
        <v>0</v>
      </c>
      <c r="M19" s="10"/>
      <c r="N19" s="10"/>
      <c r="O19" s="10"/>
      <c r="P19" s="10"/>
      <c r="Q19" s="10">
        <f t="shared" si="0"/>
        <v>700000</v>
      </c>
      <c r="R19" s="12">
        <f t="shared" ref="R19:R25" si="2">SUM($D$8:$P$8)</f>
        <v>3800000</v>
      </c>
    </row>
    <row r="20" spans="1:18">
      <c r="A20" s="8">
        <v>13</v>
      </c>
      <c r="B20" s="51" t="s">
        <v>66</v>
      </c>
      <c r="C20" s="11" t="s">
        <v>33</v>
      </c>
      <c r="D20" s="12">
        <v>3100000</v>
      </c>
      <c r="E20" s="10">
        <v>100000</v>
      </c>
      <c r="F20" s="10">
        <v>100000</v>
      </c>
      <c r="G20" s="10">
        <v>100000</v>
      </c>
      <c r="H20" s="10">
        <v>100000</v>
      </c>
      <c r="I20" s="10">
        <v>100000</v>
      </c>
      <c r="J20" s="10">
        <v>100000</v>
      </c>
      <c r="K20" s="10">
        <v>100000</v>
      </c>
      <c r="L20" s="10">
        <v>100000</v>
      </c>
      <c r="M20" s="10"/>
      <c r="N20" s="10"/>
      <c r="O20" s="10"/>
      <c r="P20" s="10"/>
      <c r="Q20" s="10">
        <f t="shared" si="0"/>
        <v>800000</v>
      </c>
      <c r="R20" s="12">
        <f t="shared" si="2"/>
        <v>3800000</v>
      </c>
    </row>
    <row r="21" spans="1:18">
      <c r="A21" s="8">
        <v>14</v>
      </c>
      <c r="B21" s="51" t="s">
        <v>67</v>
      </c>
      <c r="C21" s="11" t="s">
        <v>34</v>
      </c>
      <c r="D21" s="12">
        <v>3100000</v>
      </c>
      <c r="E21" s="10">
        <v>100000</v>
      </c>
      <c r="F21" s="10">
        <v>100000</v>
      </c>
      <c r="G21" s="10">
        <v>100000</v>
      </c>
      <c r="H21" s="10">
        <v>100000</v>
      </c>
      <c r="I21" s="10">
        <v>100000</v>
      </c>
      <c r="J21" s="10">
        <v>100000</v>
      </c>
      <c r="K21" s="10">
        <v>100000</v>
      </c>
      <c r="L21" s="10">
        <v>0</v>
      </c>
      <c r="M21" s="10"/>
      <c r="N21" s="10"/>
      <c r="O21" s="10"/>
      <c r="P21" s="10"/>
      <c r="Q21" s="10">
        <f t="shared" si="0"/>
        <v>700000</v>
      </c>
      <c r="R21" s="12">
        <f t="shared" si="2"/>
        <v>3800000</v>
      </c>
    </row>
    <row r="22" spans="1:18">
      <c r="A22" s="8">
        <v>15</v>
      </c>
      <c r="B22" s="51" t="s">
        <v>68</v>
      </c>
      <c r="C22" s="11" t="s">
        <v>35</v>
      </c>
      <c r="D22" s="12">
        <v>3100000</v>
      </c>
      <c r="E22" s="10">
        <v>100000</v>
      </c>
      <c r="F22" s="10">
        <v>100000</v>
      </c>
      <c r="G22" s="10">
        <v>100000</v>
      </c>
      <c r="H22" s="10">
        <v>100000</v>
      </c>
      <c r="I22" s="10">
        <v>100000</v>
      </c>
      <c r="J22" s="10">
        <v>100000</v>
      </c>
      <c r="K22" s="10">
        <v>100000</v>
      </c>
      <c r="L22" s="10">
        <v>100000</v>
      </c>
      <c r="M22" s="10"/>
      <c r="N22" s="10"/>
      <c r="O22" s="10"/>
      <c r="P22" s="10"/>
      <c r="Q22" s="10">
        <f t="shared" si="0"/>
        <v>800000</v>
      </c>
      <c r="R22" s="12">
        <f t="shared" si="2"/>
        <v>3800000</v>
      </c>
    </row>
    <row r="23" spans="1:18">
      <c r="A23" s="8">
        <v>16</v>
      </c>
      <c r="B23" s="51" t="s">
        <v>69</v>
      </c>
      <c r="C23" s="11" t="s">
        <v>36</v>
      </c>
      <c r="D23" s="12">
        <v>3100000</v>
      </c>
      <c r="E23" s="10">
        <v>100000</v>
      </c>
      <c r="F23" s="10">
        <v>100000</v>
      </c>
      <c r="G23" s="10">
        <v>100000</v>
      </c>
      <c r="H23" s="10">
        <v>100000</v>
      </c>
      <c r="I23" s="10">
        <v>100000</v>
      </c>
      <c r="J23" s="10">
        <v>100000</v>
      </c>
      <c r="K23" s="10">
        <v>100000</v>
      </c>
      <c r="L23" s="10">
        <v>100000</v>
      </c>
      <c r="M23" s="10"/>
      <c r="N23" s="10"/>
      <c r="O23" s="10"/>
      <c r="P23" s="10"/>
      <c r="Q23" s="10">
        <f t="shared" si="0"/>
        <v>800000</v>
      </c>
      <c r="R23" s="12">
        <f t="shared" si="2"/>
        <v>3800000</v>
      </c>
    </row>
    <row r="24" spans="1:18">
      <c r="A24" s="8">
        <v>17</v>
      </c>
      <c r="B24" s="51" t="s">
        <v>71</v>
      </c>
      <c r="C24" s="11" t="s">
        <v>38</v>
      </c>
      <c r="D24" s="12">
        <v>3100000</v>
      </c>
      <c r="E24" s="10">
        <v>100000</v>
      </c>
      <c r="F24" s="10">
        <v>100000</v>
      </c>
      <c r="G24" s="10">
        <v>100000</v>
      </c>
      <c r="H24" s="10">
        <v>100000</v>
      </c>
      <c r="I24" s="10">
        <v>100000</v>
      </c>
      <c r="J24" s="10">
        <v>100000</v>
      </c>
      <c r="K24" s="10">
        <v>100000</v>
      </c>
      <c r="L24" s="10">
        <v>100000</v>
      </c>
      <c r="M24" s="10"/>
      <c r="N24" s="10"/>
      <c r="O24" s="10"/>
      <c r="P24" s="10"/>
      <c r="Q24" s="10">
        <f t="shared" si="0"/>
        <v>800000</v>
      </c>
      <c r="R24" s="12">
        <f t="shared" si="2"/>
        <v>3800000</v>
      </c>
    </row>
    <row r="25" spans="1:18">
      <c r="A25" s="8">
        <v>18</v>
      </c>
      <c r="B25" s="51" t="s">
        <v>72</v>
      </c>
      <c r="C25" s="11" t="s">
        <v>39</v>
      </c>
      <c r="D25" s="12">
        <v>3100000</v>
      </c>
      <c r="E25" s="10">
        <v>100000</v>
      </c>
      <c r="F25" s="10">
        <v>100000</v>
      </c>
      <c r="G25" s="10">
        <v>100000</v>
      </c>
      <c r="H25" s="10">
        <v>100000</v>
      </c>
      <c r="I25" s="10">
        <v>100000</v>
      </c>
      <c r="J25" s="10">
        <v>100000</v>
      </c>
      <c r="K25" s="10">
        <v>100000</v>
      </c>
      <c r="L25" s="10">
        <v>100000</v>
      </c>
      <c r="M25" s="10"/>
      <c r="N25" s="10"/>
      <c r="O25" s="10"/>
      <c r="P25" s="10"/>
      <c r="Q25" s="10">
        <f t="shared" si="0"/>
        <v>800000</v>
      </c>
      <c r="R25" s="12">
        <f t="shared" si="2"/>
        <v>3800000</v>
      </c>
    </row>
    <row r="26" spans="1:18">
      <c r="A26" s="8">
        <v>19</v>
      </c>
      <c r="B26" s="51" t="s">
        <v>73</v>
      </c>
      <c r="C26" s="11" t="s">
        <v>40</v>
      </c>
      <c r="D26" s="12">
        <v>2300000</v>
      </c>
      <c r="E26" s="10">
        <v>100000</v>
      </c>
      <c r="F26" s="10">
        <v>100000</v>
      </c>
      <c r="G26" s="10">
        <v>100000</v>
      </c>
      <c r="H26" s="10">
        <v>100000</v>
      </c>
      <c r="I26" s="10">
        <v>100000</v>
      </c>
      <c r="J26" s="10">
        <v>100000</v>
      </c>
      <c r="K26" s="10">
        <v>100000</v>
      </c>
      <c r="L26" s="10">
        <v>100000</v>
      </c>
      <c r="M26" s="10"/>
      <c r="N26" s="10"/>
      <c r="O26" s="10"/>
      <c r="P26" s="10"/>
      <c r="Q26" s="10">
        <f t="shared" si="0"/>
        <v>800000</v>
      </c>
      <c r="R26" s="12">
        <f>SUM(D26:P26)</f>
        <v>3100000</v>
      </c>
    </row>
    <row r="27" spans="1:18">
      <c r="A27" s="8">
        <v>20</v>
      </c>
      <c r="B27" s="51" t="s">
        <v>75</v>
      </c>
      <c r="C27" s="11" t="s">
        <v>42</v>
      </c>
      <c r="D27" s="12">
        <v>2000000</v>
      </c>
      <c r="E27" s="10">
        <v>100000</v>
      </c>
      <c r="F27" s="10">
        <v>100000</v>
      </c>
      <c r="G27" s="10">
        <v>100000</v>
      </c>
      <c r="H27" s="10">
        <v>100000</v>
      </c>
      <c r="I27" s="10">
        <v>100000</v>
      </c>
      <c r="J27" s="10">
        <v>100000</v>
      </c>
      <c r="K27" s="10">
        <v>100000</v>
      </c>
      <c r="L27" s="10">
        <v>100000</v>
      </c>
      <c r="M27" s="10"/>
      <c r="N27" s="10"/>
      <c r="O27" s="10"/>
      <c r="P27" s="10"/>
      <c r="Q27" s="10">
        <f t="shared" si="0"/>
        <v>800000</v>
      </c>
      <c r="R27" s="12">
        <f>SUM(D27:P27)</f>
        <v>2800000</v>
      </c>
    </row>
    <row r="28" spans="1:18">
      <c r="A28" s="8">
        <v>21</v>
      </c>
      <c r="B28" s="51" t="s">
        <v>86</v>
      </c>
      <c r="C28" s="11" t="s">
        <v>87</v>
      </c>
      <c r="D28" s="12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100000</v>
      </c>
      <c r="K28" s="10">
        <v>100000</v>
      </c>
      <c r="L28" s="10">
        <v>100000</v>
      </c>
      <c r="M28" s="10"/>
      <c r="N28" s="10"/>
      <c r="O28" s="10"/>
      <c r="P28" s="10"/>
      <c r="Q28" s="10">
        <f t="shared" si="0"/>
        <v>300000</v>
      </c>
      <c r="R28" s="12"/>
    </row>
    <row r="29" spans="1:18" s="18" customFormat="1">
      <c r="A29" s="13"/>
      <c r="B29" s="13"/>
      <c r="C29" s="14" t="s">
        <v>43</v>
      </c>
      <c r="D29" s="14">
        <f>SUM(D8:D28)</f>
        <v>60100000</v>
      </c>
      <c r="E29" s="25">
        <f>SUM(E8:E28)</f>
        <v>2000000</v>
      </c>
      <c r="F29" s="25">
        <f>SUM(F8:F28)</f>
        <v>2000000</v>
      </c>
      <c r="G29" s="25">
        <f>SUM(G8:G28)</f>
        <v>2000000</v>
      </c>
      <c r="H29" s="26">
        <f>SUM(H8:H28)</f>
        <v>2000000</v>
      </c>
      <c r="I29" s="25">
        <f>SUM(I8:I28)</f>
        <v>2000000</v>
      </c>
      <c r="J29" s="25">
        <f>SUM(J8:J28)</f>
        <v>2100000</v>
      </c>
      <c r="K29" s="25">
        <f>SUM(K8:K28)</f>
        <v>2100000</v>
      </c>
      <c r="L29" s="25">
        <f>SUM(L8:L28)</f>
        <v>1600000</v>
      </c>
      <c r="M29" s="25">
        <f>SUM(M8:M27)</f>
        <v>0</v>
      </c>
      <c r="N29" s="25">
        <f>SUM(N8:N27)</f>
        <v>0</v>
      </c>
      <c r="O29" s="25">
        <f>SUM(O8:O27)</f>
        <v>0</v>
      </c>
      <c r="P29" s="25">
        <f>SUM(P8:P27)</f>
        <v>0</v>
      </c>
      <c r="Q29" s="25">
        <f>SUM(Q8:Q28)</f>
        <v>15800000</v>
      </c>
      <c r="R29" s="14">
        <f>SUM(R8:R27)</f>
        <v>74300000</v>
      </c>
    </row>
  </sheetData>
  <mergeCells count="6">
    <mergeCell ref="C4:C5"/>
    <mergeCell ref="D4:D5"/>
    <mergeCell ref="Q6:Q7"/>
    <mergeCell ref="R6:R7"/>
    <mergeCell ref="A4:B5"/>
    <mergeCell ref="E4:P5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"/>
  <sheetViews>
    <sheetView tabSelected="1" workbookViewId="0">
      <selection activeCell="F7" sqref="F7"/>
    </sheetView>
  </sheetViews>
  <sheetFormatPr defaultColWidth="9" defaultRowHeight="16.5"/>
  <cols>
    <col min="1" max="2" width="7" style="1" customWidth="1"/>
    <col min="3" max="3" width="32.7109375" style="1" customWidth="1"/>
    <col min="4" max="4" width="22.5703125" style="2" customWidth="1"/>
    <col min="5" max="6" width="22.5703125" style="3" customWidth="1"/>
    <col min="7" max="7" width="20.42578125" style="3" customWidth="1"/>
    <col min="8" max="8" width="20.42578125" style="4" customWidth="1"/>
  </cols>
  <sheetData>
    <row r="1" spans="1:8">
      <c r="A1" s="5" t="s">
        <v>78</v>
      </c>
      <c r="B1" s="5"/>
      <c r="C1" s="5"/>
      <c r="D1" s="6"/>
    </row>
    <row r="2" spans="1:8">
      <c r="A2" s="5" t="s">
        <v>1</v>
      </c>
      <c r="B2" s="5"/>
      <c r="C2" s="5"/>
      <c r="D2" s="6"/>
    </row>
    <row r="4" spans="1:8" ht="16.5" customHeight="1">
      <c r="A4" s="63" t="s">
        <v>2</v>
      </c>
      <c r="B4" s="64"/>
      <c r="C4" s="56" t="s">
        <v>3</v>
      </c>
      <c r="D4" s="57" t="s">
        <v>4</v>
      </c>
      <c r="E4" s="69" t="s">
        <v>44</v>
      </c>
      <c r="F4" s="69" t="s">
        <v>45</v>
      </c>
      <c r="G4" s="73"/>
      <c r="H4" s="72"/>
    </row>
    <row r="5" spans="1:8" ht="16.5" customHeight="1">
      <c r="A5" s="65"/>
      <c r="B5" s="66"/>
      <c r="C5" s="56"/>
      <c r="D5" s="58"/>
      <c r="E5" s="70"/>
      <c r="F5" s="70"/>
      <c r="G5" s="74"/>
      <c r="H5" s="72"/>
    </row>
    <row r="6" spans="1:8">
      <c r="A6" s="8"/>
      <c r="B6" s="8"/>
      <c r="C6" s="8"/>
      <c r="D6" s="9"/>
      <c r="E6" s="10"/>
      <c r="F6" s="10"/>
      <c r="G6" s="10"/>
    </row>
    <row r="7" spans="1:8">
      <c r="A7" s="8">
        <v>1</v>
      </c>
      <c r="B7" s="51" t="s">
        <v>54</v>
      </c>
      <c r="C7" s="11" t="s">
        <v>19</v>
      </c>
      <c r="D7" s="12">
        <v>800000</v>
      </c>
      <c r="E7" s="10">
        <v>1100000</v>
      </c>
      <c r="F7" s="10">
        <v>1200000</v>
      </c>
      <c r="G7" s="10">
        <f>SUM(D7:F7)</f>
        <v>3100000</v>
      </c>
    </row>
    <row r="8" spans="1:8">
      <c r="A8" s="8">
        <v>2</v>
      </c>
      <c r="B8" s="51" t="s">
        <v>55</v>
      </c>
      <c r="C8" s="11" t="s">
        <v>20</v>
      </c>
      <c r="D8" s="12">
        <v>800000</v>
      </c>
      <c r="E8" s="10">
        <v>1100000</v>
      </c>
      <c r="F8" s="10">
        <v>1200000</v>
      </c>
      <c r="G8" s="10">
        <f t="shared" ref="G8:G29" si="0">SUM(D8:F8)</f>
        <v>3100000</v>
      </c>
    </row>
    <row r="9" spans="1:8">
      <c r="A9" s="8">
        <v>3</v>
      </c>
      <c r="B9" s="51" t="s">
        <v>56</v>
      </c>
      <c r="C9" s="11" t="s">
        <v>21</v>
      </c>
      <c r="D9" s="12">
        <v>800000</v>
      </c>
      <c r="E9" s="10">
        <v>1100000</v>
      </c>
      <c r="F9" s="10">
        <v>1200000</v>
      </c>
      <c r="G9" s="10">
        <f t="shared" si="0"/>
        <v>3100000</v>
      </c>
    </row>
    <row r="10" spans="1:8">
      <c r="A10" s="8">
        <v>4</v>
      </c>
      <c r="B10" s="51" t="s">
        <v>57</v>
      </c>
      <c r="C10" s="11" t="s">
        <v>22</v>
      </c>
      <c r="D10" s="12">
        <v>800000</v>
      </c>
      <c r="E10" s="10">
        <v>1100000</v>
      </c>
      <c r="F10" s="10">
        <v>1200000</v>
      </c>
      <c r="G10" s="10">
        <f t="shared" si="0"/>
        <v>3100000</v>
      </c>
    </row>
    <row r="11" spans="1:8">
      <c r="A11" s="8">
        <v>5</v>
      </c>
      <c r="B11" s="51" t="s">
        <v>58</v>
      </c>
      <c r="C11" s="11" t="s">
        <v>23</v>
      </c>
      <c r="D11" s="12">
        <v>800000</v>
      </c>
      <c r="E11" s="10">
        <v>1100000</v>
      </c>
      <c r="F11" s="10">
        <v>1200000</v>
      </c>
      <c r="G11" s="10">
        <f t="shared" si="0"/>
        <v>3100000</v>
      </c>
    </row>
    <row r="12" spans="1:8">
      <c r="A12" s="8">
        <v>6</v>
      </c>
      <c r="B12" s="51" t="s">
        <v>59</v>
      </c>
      <c r="C12" s="11" t="s">
        <v>25</v>
      </c>
      <c r="D12" s="12">
        <v>800000</v>
      </c>
      <c r="E12" s="10">
        <v>1100000</v>
      </c>
      <c r="F12" s="10">
        <v>1200000</v>
      </c>
      <c r="G12" s="10">
        <f t="shared" si="0"/>
        <v>3100000</v>
      </c>
    </row>
    <row r="13" spans="1:8">
      <c r="A13" s="8">
        <v>7</v>
      </c>
      <c r="B13" s="51" t="s">
        <v>60</v>
      </c>
      <c r="C13" s="11" t="s">
        <v>26</v>
      </c>
      <c r="D13" s="12">
        <v>800000</v>
      </c>
      <c r="E13" s="10">
        <v>1100000</v>
      </c>
      <c r="F13" s="10">
        <v>1200000</v>
      </c>
      <c r="G13" s="10">
        <f t="shared" si="0"/>
        <v>3100000</v>
      </c>
    </row>
    <row r="14" spans="1:8">
      <c r="A14" s="8">
        <v>8</v>
      </c>
      <c r="B14" s="51" t="s">
        <v>61</v>
      </c>
      <c r="C14" s="11" t="s">
        <v>27</v>
      </c>
      <c r="D14" s="12">
        <v>800000</v>
      </c>
      <c r="E14" s="10">
        <v>1100000</v>
      </c>
      <c r="F14" s="10">
        <v>1200000</v>
      </c>
      <c r="G14" s="10">
        <f t="shared" si="0"/>
        <v>3100000</v>
      </c>
    </row>
    <row r="15" spans="1:8">
      <c r="A15" s="8">
        <v>9</v>
      </c>
      <c r="B15" s="51" t="s">
        <v>62</v>
      </c>
      <c r="C15" s="11" t="s">
        <v>28</v>
      </c>
      <c r="D15" s="12">
        <v>800000</v>
      </c>
      <c r="E15" s="10">
        <v>1100000</v>
      </c>
      <c r="F15" s="10">
        <v>1200000</v>
      </c>
      <c r="G15" s="10">
        <f t="shared" si="0"/>
        <v>3100000</v>
      </c>
    </row>
    <row r="16" spans="1:8">
      <c r="A16" s="8">
        <v>10</v>
      </c>
      <c r="B16" s="51" t="s">
        <v>63</v>
      </c>
      <c r="C16" s="11" t="s">
        <v>29</v>
      </c>
      <c r="D16" s="12">
        <v>800000</v>
      </c>
      <c r="E16" s="10">
        <v>1100000</v>
      </c>
      <c r="F16" s="10">
        <v>1200000</v>
      </c>
      <c r="G16" s="10">
        <f t="shared" si="0"/>
        <v>3100000</v>
      </c>
    </row>
    <row r="17" spans="1:7">
      <c r="A17" s="8">
        <v>11</v>
      </c>
      <c r="B17" s="51" t="s">
        <v>64</v>
      </c>
      <c r="C17" s="11" t="s">
        <v>30</v>
      </c>
      <c r="D17" s="12">
        <v>800000</v>
      </c>
      <c r="E17" s="10">
        <v>1100000</v>
      </c>
      <c r="F17" s="10">
        <v>1200000</v>
      </c>
      <c r="G17" s="10">
        <f t="shared" si="0"/>
        <v>3100000</v>
      </c>
    </row>
    <row r="18" spans="1:7">
      <c r="A18" s="8">
        <v>12</v>
      </c>
      <c r="B18" s="51" t="s">
        <v>65</v>
      </c>
      <c r="C18" s="11" t="s">
        <v>32</v>
      </c>
      <c r="D18" s="12">
        <v>800000</v>
      </c>
      <c r="E18" s="10">
        <v>1100000</v>
      </c>
      <c r="F18" s="10">
        <v>1200000</v>
      </c>
      <c r="G18" s="10">
        <f t="shared" si="0"/>
        <v>3100000</v>
      </c>
    </row>
    <row r="19" spans="1:7">
      <c r="A19" s="8">
        <v>13</v>
      </c>
      <c r="B19" s="51" t="s">
        <v>66</v>
      </c>
      <c r="C19" s="11" t="s">
        <v>33</v>
      </c>
      <c r="D19" s="12">
        <v>800000</v>
      </c>
      <c r="E19" s="10">
        <v>1100000</v>
      </c>
      <c r="F19" s="10">
        <v>1200000</v>
      </c>
      <c r="G19" s="10">
        <f t="shared" si="0"/>
        <v>3100000</v>
      </c>
    </row>
    <row r="20" spans="1:7">
      <c r="A20" s="8">
        <v>14</v>
      </c>
      <c r="B20" s="51" t="s">
        <v>67</v>
      </c>
      <c r="C20" s="11" t="s">
        <v>34</v>
      </c>
      <c r="D20" s="12">
        <v>800000</v>
      </c>
      <c r="E20" s="10">
        <v>1100000</v>
      </c>
      <c r="F20" s="10">
        <v>1200000</v>
      </c>
      <c r="G20" s="10">
        <f t="shared" si="0"/>
        <v>3100000</v>
      </c>
    </row>
    <row r="21" spans="1:7">
      <c r="A21" s="8">
        <v>15</v>
      </c>
      <c r="B21" s="51" t="s">
        <v>68</v>
      </c>
      <c r="C21" s="11" t="s">
        <v>35</v>
      </c>
      <c r="D21" s="12">
        <v>800000</v>
      </c>
      <c r="E21" s="10">
        <v>1100000</v>
      </c>
      <c r="F21" s="10">
        <v>1200000</v>
      </c>
      <c r="G21" s="10">
        <f t="shared" si="0"/>
        <v>3100000</v>
      </c>
    </row>
    <row r="22" spans="1:7">
      <c r="A22" s="8">
        <v>16</v>
      </c>
      <c r="B22" s="51" t="s">
        <v>69</v>
      </c>
      <c r="C22" s="11" t="s">
        <v>36</v>
      </c>
      <c r="D22" s="12">
        <v>800000</v>
      </c>
      <c r="E22" s="10">
        <v>1100000</v>
      </c>
      <c r="F22" s="10">
        <v>1200000</v>
      </c>
      <c r="G22" s="10">
        <f t="shared" si="0"/>
        <v>3100000</v>
      </c>
    </row>
    <row r="23" spans="1:7">
      <c r="A23" s="8">
        <v>17</v>
      </c>
      <c r="B23" s="51" t="s">
        <v>70</v>
      </c>
      <c r="C23" s="11" t="s">
        <v>37</v>
      </c>
      <c r="D23" s="12">
        <v>800000</v>
      </c>
      <c r="E23" s="10">
        <v>1100000</v>
      </c>
      <c r="F23" s="10">
        <v>1200000</v>
      </c>
      <c r="G23" s="10">
        <f t="shared" si="0"/>
        <v>3100000</v>
      </c>
    </row>
    <row r="24" spans="1:7">
      <c r="A24" s="8">
        <v>18</v>
      </c>
      <c r="B24" s="51" t="s">
        <v>71</v>
      </c>
      <c r="C24" s="11" t="s">
        <v>38</v>
      </c>
      <c r="D24" s="12">
        <v>800000</v>
      </c>
      <c r="E24" s="10">
        <v>1100000</v>
      </c>
      <c r="F24" s="10">
        <v>1200000</v>
      </c>
      <c r="G24" s="10">
        <f t="shared" si="0"/>
        <v>3100000</v>
      </c>
    </row>
    <row r="25" spans="1:7">
      <c r="A25" s="8">
        <v>19</v>
      </c>
      <c r="B25" s="51" t="s">
        <v>72</v>
      </c>
      <c r="C25" s="11" t="s">
        <v>39</v>
      </c>
      <c r="D25" s="12">
        <v>800000</v>
      </c>
      <c r="E25" s="10">
        <v>1100000</v>
      </c>
      <c r="F25" s="10">
        <v>1200000</v>
      </c>
      <c r="G25" s="10">
        <f t="shared" si="0"/>
        <v>3100000</v>
      </c>
    </row>
    <row r="26" spans="1:7">
      <c r="A26" s="8">
        <v>20</v>
      </c>
      <c r="B26" s="51" t="s">
        <v>73</v>
      </c>
      <c r="C26" s="11" t="s">
        <v>40</v>
      </c>
      <c r="D26" s="12">
        <v>0</v>
      </c>
      <c r="E26" s="10">
        <v>1100000</v>
      </c>
      <c r="F26" s="10">
        <v>1200000</v>
      </c>
      <c r="G26" s="10">
        <f t="shared" si="0"/>
        <v>2300000</v>
      </c>
    </row>
    <row r="27" spans="1:7">
      <c r="A27" s="8">
        <v>21</v>
      </c>
      <c r="B27" s="51" t="s">
        <v>74</v>
      </c>
      <c r="C27" s="11" t="s">
        <v>41</v>
      </c>
      <c r="D27" s="12">
        <v>0</v>
      </c>
      <c r="E27" s="10">
        <v>1100000</v>
      </c>
      <c r="F27" s="10">
        <v>1200000</v>
      </c>
      <c r="G27" s="10">
        <f t="shared" si="0"/>
        <v>2300000</v>
      </c>
    </row>
    <row r="28" spans="1:7">
      <c r="A28" s="8">
        <v>22</v>
      </c>
      <c r="B28" s="51" t="s">
        <v>75</v>
      </c>
      <c r="C28" s="11" t="s">
        <v>42</v>
      </c>
      <c r="D28" s="12">
        <v>0</v>
      </c>
      <c r="E28" s="10">
        <v>800000</v>
      </c>
      <c r="F28" s="10">
        <v>1200000</v>
      </c>
      <c r="G28" s="10">
        <f t="shared" si="0"/>
        <v>2000000</v>
      </c>
    </row>
    <row r="29" spans="1:7" ht="30" customHeight="1">
      <c r="A29" s="13"/>
      <c r="B29" s="13"/>
      <c r="C29" s="14" t="s">
        <v>43</v>
      </c>
      <c r="D29" s="15">
        <f>SUM(D7:D28)</f>
        <v>15200000</v>
      </c>
      <c r="E29" s="16">
        <f>SUM(E7:E28)</f>
        <v>23900000</v>
      </c>
      <c r="F29" s="16">
        <f>SUM(F7:F28)</f>
        <v>26400000</v>
      </c>
      <c r="G29" s="17">
        <f t="shared" si="0"/>
        <v>65500000</v>
      </c>
    </row>
    <row r="30" spans="1:7" ht="27.75" customHeight="1"/>
  </sheetData>
  <mergeCells count="7">
    <mergeCell ref="H4:H5"/>
    <mergeCell ref="A4:B5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8077-B2A6-466B-A19D-DB6A762C7EA7}">
  <dimension ref="B3:K6"/>
  <sheetViews>
    <sheetView workbookViewId="0">
      <selection activeCell="I6" sqref="I6"/>
    </sheetView>
  </sheetViews>
  <sheetFormatPr defaultRowHeight="24" customHeight="1"/>
  <cols>
    <col min="2" max="2" width="6.85546875" customWidth="1"/>
    <col min="3" max="3" width="9.85546875" customWidth="1"/>
    <col min="4" max="4" width="25.42578125" customWidth="1"/>
    <col min="5" max="8" width="17.140625" customWidth="1"/>
    <col min="9" max="10" width="16" customWidth="1"/>
    <col min="11" max="11" width="19.28515625" customWidth="1"/>
  </cols>
  <sheetData>
    <row r="3" spans="2:11" ht="24" customHeight="1">
      <c r="B3" s="76" t="s">
        <v>85</v>
      </c>
      <c r="C3" s="76"/>
      <c r="D3" s="76"/>
      <c r="E3" s="76"/>
      <c r="F3" s="76"/>
      <c r="G3" s="76"/>
      <c r="H3" s="76"/>
      <c r="I3" s="76"/>
      <c r="J3" s="76"/>
      <c r="K3" s="76"/>
    </row>
    <row r="4" spans="2:11" s="52" customFormat="1" ht="19.5" customHeight="1">
      <c r="B4" s="75" t="s">
        <v>2</v>
      </c>
      <c r="C4" s="75" t="s">
        <v>84</v>
      </c>
      <c r="D4" s="75" t="s">
        <v>3</v>
      </c>
      <c r="E4" s="75" t="s">
        <v>80</v>
      </c>
      <c r="F4" s="75"/>
      <c r="G4" s="75"/>
      <c r="H4" s="75"/>
      <c r="I4" s="75" t="s">
        <v>81</v>
      </c>
      <c r="J4" s="75" t="s">
        <v>82</v>
      </c>
      <c r="K4" s="75" t="s">
        <v>83</v>
      </c>
    </row>
    <row r="5" spans="2:11" s="52" customFormat="1" ht="19.5" customHeight="1">
      <c r="B5" s="75"/>
      <c r="C5" s="75"/>
      <c r="D5" s="75"/>
      <c r="E5" s="53">
        <v>2023</v>
      </c>
      <c r="F5" s="53">
        <v>2024</v>
      </c>
      <c r="G5" s="53">
        <v>2025</v>
      </c>
      <c r="H5" s="53">
        <v>2026</v>
      </c>
      <c r="I5" s="75"/>
      <c r="J5" s="75"/>
      <c r="K5" s="75"/>
    </row>
    <row r="6" spans="2:11" ht="24" customHeight="1">
      <c r="B6" s="53">
        <v>1</v>
      </c>
      <c r="C6" s="53">
        <v>19</v>
      </c>
      <c r="D6" s="54" t="s">
        <v>39</v>
      </c>
      <c r="E6" s="55">
        <v>0</v>
      </c>
      <c r="F6" s="55">
        <v>1100000</v>
      </c>
      <c r="G6" s="55">
        <v>1200000</v>
      </c>
      <c r="H6" s="55">
        <v>600000</v>
      </c>
      <c r="I6" s="55">
        <v>0</v>
      </c>
      <c r="J6" s="55">
        <v>100000</v>
      </c>
      <c r="K6" s="55">
        <f>SUM(E6:J6)</f>
        <v>3000000</v>
      </c>
    </row>
  </sheetData>
  <mergeCells count="8">
    <mergeCell ref="K4:K5"/>
    <mergeCell ref="B3:K3"/>
    <mergeCell ref="E4:H4"/>
    <mergeCell ref="B4:B5"/>
    <mergeCell ref="D4:D5"/>
    <mergeCell ref="C4:C5"/>
    <mergeCell ref="I4:I5"/>
    <mergeCell ref="J4:J5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Simpanan Wajib 2024</vt:lpstr>
      <vt:lpstr>Simpanan Wajib 2025</vt:lpstr>
      <vt:lpstr>Simpanan Wajib 2026</vt:lpstr>
      <vt:lpstr>Total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2025-12-30T04:39:00Z</dcterms:created>
  <dcterms:modified xsi:type="dcterms:W3CDTF">2026-08-05T02:28:36Z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3EA707A051D04AB89FF0993A479979E6_12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