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E:\3 PAGUYUBAN BRAVO\2026\"/>
    </mc:Choice>
  </mc:AlternateContent>
  <xr:revisionPtr revIDLastSave="0" documentId="13_ncr:1_{95EA1650-A709-4FB6-8571-C9BD72DC226D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Rincian Angsuran " sheetId="3" r:id="rId1"/>
    <sheet name="Rekap Pinjaman 2025" sheetId="1" r:id="rId2"/>
    <sheet name="Sheet2" sheetId="2" r:id="rId3"/>
    <sheet name="Sheet3" sheetId="4" r:id="rId4"/>
    <sheet name="Sheet1" sheetId="5" r:id="rId5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59" i="3" l="1"/>
  <c r="D157" i="3"/>
  <c r="E158" i="3" l="1"/>
  <c r="E28" i="3" l="1"/>
  <c r="K158" i="3" l="1"/>
  <c r="L4" i="5" l="1"/>
  <c r="E124" i="3"/>
  <c r="K27" i="3"/>
  <c r="L14" i="5" l="1"/>
  <c r="L13" i="5"/>
  <c r="L12" i="5"/>
  <c r="L11" i="5"/>
  <c r="L10" i="5"/>
  <c r="L9" i="5"/>
  <c r="I4" i="5"/>
  <c r="I3" i="5"/>
  <c r="I22" i="4"/>
  <c r="J21" i="4"/>
  <c r="J17" i="4"/>
  <c r="G17" i="4"/>
  <c r="I16" i="4"/>
  <c r="I14" i="4"/>
  <c r="C9" i="4"/>
  <c r="K8" i="4"/>
  <c r="K7" i="4"/>
  <c r="K6" i="4"/>
  <c r="K5" i="4"/>
  <c r="G5" i="4"/>
  <c r="M16" i="2"/>
  <c r="M15" i="2"/>
  <c r="K31" i="1"/>
  <c r="H31" i="1"/>
  <c r="G31" i="1"/>
  <c r="D31" i="1"/>
  <c r="E10" i="1"/>
  <c r="E8" i="1"/>
  <c r="E7" i="1"/>
  <c r="E6" i="1"/>
  <c r="E4" i="1"/>
  <c r="Q145" i="3"/>
  <c r="Q120" i="3"/>
  <c r="Q125" i="3" s="1"/>
  <c r="K124" i="3"/>
  <c r="Q101" i="3"/>
  <c r="K101" i="3"/>
  <c r="E101" i="3"/>
  <c r="Q76" i="3"/>
  <c r="E76" i="3"/>
  <c r="E77" i="3" s="1"/>
  <c r="K71" i="3"/>
  <c r="K72" i="3" s="1"/>
  <c r="Q52" i="3"/>
  <c r="Q53" i="3" s="1"/>
  <c r="K52" i="3"/>
  <c r="K53" i="3" s="1"/>
  <c r="E49" i="3"/>
  <c r="E27" i="3"/>
  <c r="V23" i="3"/>
  <c r="V24" i="3" s="1"/>
  <c r="Q22" i="3" l="1"/>
</calcChain>
</file>

<file path=xl/sharedStrings.xml><?xml version="1.0" encoding="utf-8"?>
<sst xmlns="http://schemas.openxmlformats.org/spreadsheetml/2006/main" count="883" uniqueCount="197">
  <si>
    <t>PAGUYUBAN BRAVO BEKASI</t>
  </si>
  <si>
    <t>NAMA : AGUS PURWANTO (007)</t>
  </si>
  <si>
    <t>NAMA : WAHYU BUDI PRASETYO (017)</t>
  </si>
  <si>
    <t>NAMA : ARTA WIGUNA</t>
  </si>
  <si>
    <t xml:space="preserve">Pinjaman Bulan </t>
  </si>
  <si>
    <t>Mei 2025</t>
  </si>
  <si>
    <t xml:space="preserve">September 2024 </t>
  </si>
  <si>
    <t xml:space="preserve">Agustus 2025 </t>
  </si>
  <si>
    <t>Agustus 2025</t>
  </si>
  <si>
    <t xml:space="preserve">Total Pinjaman </t>
  </si>
  <si>
    <t xml:space="preserve">Jasa Pinjaman </t>
  </si>
  <si>
    <t xml:space="preserve">Pembelian Laptop </t>
  </si>
  <si>
    <t xml:space="preserve">Angsuran Per Bulan </t>
  </si>
  <si>
    <t xml:space="preserve">15 X Angsuran </t>
  </si>
  <si>
    <t xml:space="preserve">10 x Angsuran </t>
  </si>
  <si>
    <t>NO</t>
  </si>
  <si>
    <t xml:space="preserve">Jumlah </t>
  </si>
  <si>
    <t xml:space="preserve">ANGSURAN KE </t>
  </si>
  <si>
    <t xml:space="preserve">TGL ANGSURAN </t>
  </si>
  <si>
    <t xml:space="preserve">JUMLAH </t>
  </si>
  <si>
    <t>Ansuran Ke 1</t>
  </si>
  <si>
    <t>Ansuran Ke 2</t>
  </si>
  <si>
    <t>Ansuran Ke 3</t>
  </si>
  <si>
    <t>Ansuran Ke 4</t>
  </si>
  <si>
    <t>Ansuran Ke 5</t>
  </si>
  <si>
    <t>Ansuran Ke 6</t>
  </si>
  <si>
    <t>Ansuran Ke 7</t>
  </si>
  <si>
    <t>Ansuran Ke 8</t>
  </si>
  <si>
    <t>Ansuran Ke 9</t>
  </si>
  <si>
    <t>Ansuran Ke 10</t>
  </si>
  <si>
    <t>Ansuran Ke 11</t>
  </si>
  <si>
    <t>Ansuran Ke 12</t>
  </si>
  <si>
    <t>Ansuran Ke 13</t>
  </si>
  <si>
    <t>Ansuran Ke 14</t>
  </si>
  <si>
    <t>Anggota Mengundurkan Diri (Lunas)</t>
  </si>
  <si>
    <t>Ansuran Ke 15</t>
  </si>
  <si>
    <t>NAMA : MADIH MUHAMMAD IRAMA (015)</t>
  </si>
  <si>
    <t>NAMA : DIKA ADITYA PRATAMA</t>
  </si>
  <si>
    <t>NAMA :  TARKA WIJAYA</t>
  </si>
  <si>
    <t>September 2025</t>
  </si>
  <si>
    <t>Sepeda Listrik Rp 3.700.000 + 1650000 (Sisa Sebelumnya)</t>
  </si>
  <si>
    <t xml:space="preserve">6 x Angsuran </t>
  </si>
  <si>
    <t xml:space="preserve">Jumlah  </t>
  </si>
  <si>
    <t>NAMA : GUNTUR ARYA SUTA</t>
  </si>
  <si>
    <t xml:space="preserve">NAMA : HENDRA </t>
  </si>
  <si>
    <t>NAMA : MUHAMMAD SOLEH (011)</t>
  </si>
  <si>
    <t>November 2025</t>
  </si>
  <si>
    <t>Oktober 2025</t>
  </si>
  <si>
    <t xml:space="preserve">5 x Angsuran </t>
  </si>
  <si>
    <t>NAMA : SUGIYATNO</t>
  </si>
  <si>
    <t xml:space="preserve">NAMA : ADE AHMAD SAMSUDIN </t>
  </si>
  <si>
    <t>NAMA : SAEPUL MUHAEMIN (003)</t>
  </si>
  <si>
    <t xml:space="preserve"> November 2025</t>
  </si>
  <si>
    <t>NOVEMBER 2025</t>
  </si>
  <si>
    <t>NAMA : TRIYO SUTOPO (002)</t>
  </si>
  <si>
    <t>NAMA : MUSAFAK</t>
  </si>
  <si>
    <t>Desember 2025</t>
  </si>
  <si>
    <t>JANUARI 2025</t>
  </si>
  <si>
    <t>PINJAMAN ANGGOTA 2024-2025</t>
  </si>
  <si>
    <t>NAMA</t>
  </si>
  <si>
    <t xml:space="preserve">BULAN </t>
  </si>
  <si>
    <t xml:space="preserve">JUMLAH PINJAMAN </t>
  </si>
  <si>
    <t xml:space="preserve">JASA PINJAMAN </t>
  </si>
  <si>
    <t xml:space="preserve">SISA ANGSURAN </t>
  </si>
  <si>
    <t>Sisa Pokok</t>
  </si>
  <si>
    <t>POSISI</t>
  </si>
  <si>
    <t xml:space="preserve">STATUS PINJAMAN </t>
  </si>
  <si>
    <t>Jasa Pinjaman November  2025</t>
  </si>
  <si>
    <t xml:space="preserve">Sepruidanto </t>
  </si>
  <si>
    <t>Agustus 2024</t>
  </si>
  <si>
    <t xml:space="preserve">Lunas </t>
  </si>
  <si>
    <t>Lancar</t>
  </si>
  <si>
    <t xml:space="preserve">Saipul </t>
  </si>
  <si>
    <t>Desember 2024</t>
  </si>
  <si>
    <t>Sugiyatno</t>
  </si>
  <si>
    <t>November 2024</t>
  </si>
  <si>
    <t xml:space="preserve">Wahyu </t>
  </si>
  <si>
    <t xml:space="preserve">Rumin Saputra </t>
  </si>
  <si>
    <t>Agus Purwanto</t>
  </si>
  <si>
    <t>(8x @500.000)</t>
  </si>
  <si>
    <t xml:space="preserve">Belum Lunas </t>
  </si>
  <si>
    <t xml:space="preserve">Tidak Lancar </t>
  </si>
  <si>
    <t xml:space="preserve">Belum Dihitung Hasilnya </t>
  </si>
  <si>
    <t xml:space="preserve">Arta Wiguna </t>
  </si>
  <si>
    <t xml:space="preserve">Lancar </t>
  </si>
  <si>
    <t xml:space="preserve">Tarka Wijaya </t>
  </si>
  <si>
    <t xml:space="preserve">Alpian </t>
  </si>
  <si>
    <t xml:space="preserve">Hendra </t>
  </si>
  <si>
    <t xml:space="preserve">Trio Sutopo </t>
  </si>
  <si>
    <t>Madih Irama</t>
  </si>
  <si>
    <t>Januari 2025</t>
  </si>
  <si>
    <t xml:space="preserve">Dika Aditiya </t>
  </si>
  <si>
    <t>Daffa Anasah</t>
  </si>
  <si>
    <t>Februari 2025</t>
  </si>
  <si>
    <t>(2x@ 550.000)</t>
  </si>
  <si>
    <t>April 2025</t>
  </si>
  <si>
    <t>(2 X @ 275.000)</t>
  </si>
  <si>
    <t xml:space="preserve">Solehudin </t>
  </si>
  <si>
    <t>3 x @ 200.000</t>
  </si>
  <si>
    <t xml:space="preserve">Yuda </t>
  </si>
  <si>
    <t>13 x @100.000</t>
  </si>
  <si>
    <t xml:space="preserve">Saepull </t>
  </si>
  <si>
    <t>4 x 500.000</t>
  </si>
  <si>
    <t>8x 850.000</t>
  </si>
  <si>
    <t>Juli 2025</t>
  </si>
  <si>
    <t>6 x 330.000</t>
  </si>
  <si>
    <t>5 x 890.000</t>
  </si>
  <si>
    <t>M. Soleh (Madun)</t>
  </si>
  <si>
    <t>6x 250.000</t>
  </si>
  <si>
    <t>9 x 250.000</t>
  </si>
  <si>
    <t>8 x 220.000</t>
  </si>
  <si>
    <t>Guntur AS</t>
  </si>
  <si>
    <t xml:space="preserve">November </t>
  </si>
  <si>
    <t>10 x 440.000</t>
  </si>
  <si>
    <t>PERIODE DESEMBER 2025</t>
  </si>
  <si>
    <t>Saldo Simpanan s/d Bulan APRIL 2026</t>
  </si>
  <si>
    <t>Saldo Simpanan s/d Bulan Desember  2025</t>
  </si>
  <si>
    <t xml:space="preserve">Simpanan wajib Tiap Bulan </t>
  </si>
  <si>
    <t xml:space="preserve">Jasa Simpanan </t>
  </si>
  <si>
    <t xml:space="preserve">Angsuran Per bulan </t>
  </si>
  <si>
    <t>Sisa Angsuran 1 x @330.000</t>
  </si>
  <si>
    <t xml:space="preserve">Tunggakan Lain2 (Kasbon) </t>
  </si>
  <si>
    <t>Potongan Lain-lain (Kas Paguyuban )</t>
  </si>
  <si>
    <t xml:space="preserve">Sisa Angsuran </t>
  </si>
  <si>
    <t xml:space="preserve">Total </t>
  </si>
  <si>
    <t xml:space="preserve">Total Yang dikembalikan Ke Anggota. </t>
  </si>
  <si>
    <t>NAMA : TRIYO SUTOPO</t>
  </si>
  <si>
    <t>NAMA : RUMIN SAPUTRA</t>
  </si>
  <si>
    <t>NAMA : DAFFA ANASAH MUTIARA TAMA</t>
  </si>
  <si>
    <t xml:space="preserve">NAMA : SAEPUL MUHAEMIN </t>
  </si>
  <si>
    <t>NAMA : MUHAMMAD SOLEH</t>
  </si>
  <si>
    <t>NAMA : HENDRA</t>
  </si>
  <si>
    <t xml:space="preserve">Pinjaman Terakhir  </t>
  </si>
  <si>
    <t>NAMA : SOLEHUDIN</t>
  </si>
  <si>
    <t>NAMA : HAMBALY</t>
  </si>
  <si>
    <t>NAMA : MUHAMMAD ROFIK</t>
  </si>
  <si>
    <t>NAMA : YUDA</t>
  </si>
  <si>
    <t>NAMA : SEPRUDIANTO</t>
  </si>
  <si>
    <t>NAMA : ADE AHMAD SAMSUDIN</t>
  </si>
  <si>
    <t>NAMA : SOLIH BIN ABBAS</t>
  </si>
  <si>
    <t>NAMA : AGUS PURWANTO</t>
  </si>
  <si>
    <t>NAMA : MADIH IRAMA</t>
  </si>
  <si>
    <t xml:space="preserve">NAMA : </t>
  </si>
  <si>
    <t>NAMA : TARKA WIJAYA</t>
  </si>
  <si>
    <t xml:space="preserve">NAMA : GUNTUR ARYA SUTA </t>
  </si>
  <si>
    <t>Madih Bayaran Bulan Januari 26</t>
  </si>
  <si>
    <t xml:space="preserve">Sisa Hutang Sebelumnya </t>
  </si>
  <si>
    <t xml:space="preserve">Sepeda Listrik </t>
  </si>
  <si>
    <t>Wajib</t>
  </si>
  <si>
    <t>Bayar Listrik (Bon)</t>
  </si>
  <si>
    <t>Bon lagi</t>
  </si>
  <si>
    <t xml:space="preserve">RINCIAN PEMBAYARAN </t>
  </si>
  <si>
    <t>SKBN</t>
  </si>
  <si>
    <t xml:space="preserve">Nama : Madih Muhammad Irama </t>
  </si>
  <si>
    <t>Bayar Rp  900.000 Kurang Rp 60.000</t>
  </si>
  <si>
    <t>No</t>
  </si>
  <si>
    <t xml:space="preserve">Keterangan </t>
  </si>
  <si>
    <t>Bayar 02 Januari 26</t>
  </si>
  <si>
    <t xml:space="preserve">Angsuran Ke 1 + iuran bulanan </t>
  </si>
  <si>
    <t xml:space="preserve">Angsuran Ke 2 + iuran bulanan </t>
  </si>
  <si>
    <t xml:space="preserve">Angsuran Ke 3 + iuran bulanan </t>
  </si>
  <si>
    <t xml:space="preserve">Angsuran Ke 4 + iuran bulanan </t>
  </si>
  <si>
    <t xml:space="preserve">Angsuran Ke 5 + iuran bulanan </t>
  </si>
  <si>
    <t xml:space="preserve">Angsuran Ke 6 + iuran bulanan </t>
  </si>
  <si>
    <t xml:space="preserve">Nama </t>
  </si>
  <si>
    <t xml:space="preserve">Angsuran Ke 1 </t>
  </si>
  <si>
    <t xml:space="preserve">Angsuran </t>
  </si>
  <si>
    <t>NAMA : WAHYU BUDI PRASETYO</t>
  </si>
  <si>
    <t xml:space="preserve">ITEM </t>
  </si>
  <si>
    <t>SPESIFIKASI</t>
  </si>
  <si>
    <t>TENOR</t>
  </si>
  <si>
    <t>OPPO A6X</t>
  </si>
  <si>
    <t xml:space="preserve">4+8/64 GB </t>
  </si>
  <si>
    <t>6X</t>
  </si>
  <si>
    <t>4+8 / 128 GB</t>
  </si>
  <si>
    <t>8X</t>
  </si>
  <si>
    <t>10X</t>
  </si>
  <si>
    <t>Angsuran Ke 11</t>
  </si>
  <si>
    <t>LUNAS</t>
  </si>
  <si>
    <t xml:space="preserve">NAMA : SAEPUL MUHAEMIN  </t>
  </si>
  <si>
    <t xml:space="preserve">11 x Angsuran </t>
  </si>
  <si>
    <t>NAMA : HENDRA (019)</t>
  </si>
  <si>
    <t xml:space="preserve">Jumlah Simpanan </t>
  </si>
  <si>
    <t xml:space="preserve">Sisa Angsuran / Pinjaman </t>
  </si>
  <si>
    <t xml:space="preserve">Bagi Hasil Laba </t>
  </si>
  <si>
    <t>Tahun 2023</t>
  </si>
  <si>
    <t>Tahun 2024</t>
  </si>
  <si>
    <t>Tahun 2025</t>
  </si>
  <si>
    <t>Tahun 2026</t>
  </si>
  <si>
    <t>TANGGAL SETORAN</t>
  </si>
  <si>
    <t>JUMLAH</t>
  </si>
  <si>
    <t>Sisa (Jumlah Belum Terbayar )</t>
  </si>
  <si>
    <t>NAMA : RAHMAT YUDA (021)</t>
  </si>
  <si>
    <t xml:space="preserve">Angsuran ke 11 </t>
  </si>
  <si>
    <t xml:space="preserve">Bagi Hasil Laba/ Keuntungan </t>
  </si>
  <si>
    <t xml:space="preserve">NAMA : RAHMAT YUDHA (021) </t>
  </si>
  <si>
    <t xml:space="preserve">Jumlah Sisa Tabungan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</si>
</sst>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5">
    <font>
      <sz val="11"/>
      <color theme="1"/>
      <name val="Calibri"/>
      <charset val="134"/>
      <scheme val="minor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1"/>
      <color theme="1"/>
      <name val="Calibri"/>
      <family val="2"/>
      <scheme val="minor"/>
    </font>
    <font>
      <u/>
      <sz val="11"/>
      <color theme="1"/>
      <name val="Arial Narrow"/>
      <family val="2"/>
    </font>
    <font>
      <b/>
      <sz val="12"/>
      <color theme="1"/>
      <name val="Arial Narrow"/>
      <family val="2"/>
    </font>
    <font>
      <sz val="11"/>
      <name val="Arial Narrow"/>
      <family val="2"/>
    </font>
    <font>
      <b/>
      <sz val="16"/>
      <color theme="1"/>
      <name val="Arial Narrow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8"/>
      <name val="Calibri"/>
      <family val="2"/>
      <scheme val="minor"/>
    </font>
    <font>
      <b/>
      <sz val="12"/>
      <color theme="1"/>
      <name val="Arial Narrow"/>
      <family val="2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08">
    <xf numFmtId="0" fontId="0" fillId="0" borderId="0" xfId="0"/>
    <xf numFmtId="42" fontId="0" fillId="0" borderId="0" xfId="0" applyNumberFormat="1"/>
    <xf numFmtId="0" fontId="1" fillId="2" borderId="0" xfId="0" applyFont="1" applyFill="1" applyBorder="1"/>
    <xf numFmtId="42" fontId="1" fillId="2" borderId="0" xfId="0" applyNumberFormat="1" applyFont="1" applyFill="1" applyBorder="1"/>
    <xf numFmtId="0" fontId="2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left"/>
    </xf>
    <xf numFmtId="42" fontId="3" fillId="2" borderId="2" xfId="0" applyNumberFormat="1" applyFont="1" applyFill="1" applyBorder="1" applyAlignment="1">
      <alignment horizontal="center"/>
    </xf>
    <xf numFmtId="42" fontId="4" fillId="0" borderId="2" xfId="0" applyNumberFormat="1" applyFont="1" applyBorder="1"/>
    <xf numFmtId="0" fontId="1" fillId="0" borderId="0" xfId="0" applyFont="1"/>
    <xf numFmtId="42" fontId="1" fillId="0" borderId="0" xfId="0" applyNumberFormat="1" applyFont="1"/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/>
    <xf numFmtId="42" fontId="1" fillId="0" borderId="2" xfId="0" applyNumberFormat="1" applyFont="1" applyBorder="1"/>
    <xf numFmtId="0" fontId="1" fillId="0" borderId="0" xfId="0" applyFont="1" applyBorder="1"/>
    <xf numFmtId="42" fontId="1" fillId="0" borderId="0" xfId="0" applyNumberFormat="1" applyFont="1" applyBorder="1"/>
    <xf numFmtId="0" fontId="1" fillId="0" borderId="3" xfId="0" applyFont="1" applyBorder="1"/>
    <xf numFmtId="0" fontId="1" fillId="2" borderId="0" xfId="0" applyFont="1" applyFill="1"/>
    <xf numFmtId="42" fontId="1" fillId="2" borderId="0" xfId="0" applyNumberFormat="1" applyFont="1" applyFill="1"/>
    <xf numFmtId="0" fontId="5" fillId="2" borderId="0" xfId="0" applyFont="1" applyFill="1" applyAlignment="1">
      <alignment vertical="top"/>
    </xf>
    <xf numFmtId="0" fontId="1" fillId="0" borderId="2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42" fontId="2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/>
    <xf numFmtId="42" fontId="1" fillId="2" borderId="2" xfId="0" applyNumberFormat="1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42" fontId="1" fillId="2" borderId="5" xfId="0" applyNumberFormat="1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42" fontId="1" fillId="2" borderId="10" xfId="0" applyNumberFormat="1" applyFont="1" applyFill="1" applyBorder="1"/>
    <xf numFmtId="0" fontId="1" fillId="2" borderId="11" xfId="0" applyFont="1" applyFill="1" applyBorder="1"/>
    <xf numFmtId="0" fontId="6" fillId="2" borderId="0" xfId="0" applyFont="1" applyFill="1"/>
    <xf numFmtId="42" fontId="6" fillId="2" borderId="0" xfId="0" applyNumberFormat="1" applyFont="1" applyFill="1"/>
    <xf numFmtId="0" fontId="1" fillId="0" borderId="0" xfId="0" applyFont="1" applyAlignment="1">
      <alignment horizontal="center" vertical="center"/>
    </xf>
    <xf numFmtId="42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2" xfId="0" applyFont="1" applyBorder="1" applyAlignment="1">
      <alignment horizontal="center" vertical="center"/>
    </xf>
    <xf numFmtId="42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42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42" fontId="1" fillId="3" borderId="2" xfId="0" applyNumberFormat="1" applyFont="1" applyFill="1" applyBorder="1" applyAlignment="1">
      <alignment horizontal="center"/>
    </xf>
    <xf numFmtId="42" fontId="1" fillId="0" borderId="2" xfId="0" applyNumberFormat="1" applyFont="1" applyBorder="1" applyAlignment="1">
      <alignment horizontal="center"/>
    </xf>
    <xf numFmtId="0" fontId="7" fillId="0" borderId="2" xfId="1" applyFont="1" applyBorder="1" applyAlignment="1">
      <alignment horizontal="left"/>
    </xf>
    <xf numFmtId="42" fontId="7" fillId="0" borderId="2" xfId="1" applyNumberFormat="1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42" fontId="1" fillId="0" borderId="2" xfId="0" applyNumberFormat="1" applyFont="1" applyBorder="1" applyAlignment="1">
      <alignment horizontal="center" vertical="center"/>
    </xf>
    <xf numFmtId="3" fontId="1" fillId="0" borderId="2" xfId="0" applyNumberFormat="1" applyFont="1" applyBorder="1" applyAlignment="1">
      <alignment horizontal="left"/>
    </xf>
    <xf numFmtId="42" fontId="8" fillId="0" borderId="2" xfId="0" applyNumberFormat="1" applyFont="1" applyBorder="1" applyAlignment="1">
      <alignment horizontal="center" vertical="center"/>
    </xf>
    <xf numFmtId="0" fontId="0" fillId="2" borderId="0" xfId="0" applyFill="1"/>
    <xf numFmtId="0" fontId="1" fillId="4" borderId="4" xfId="0" applyFont="1" applyFill="1" applyBorder="1"/>
    <xf numFmtId="0" fontId="2" fillId="2" borderId="0" xfId="0" applyFont="1" applyFill="1" applyBorder="1" applyAlignment="1">
      <alignment horizontal="left" vertical="center"/>
    </xf>
    <xf numFmtId="0" fontId="1" fillId="2" borderId="15" xfId="0" applyFont="1" applyFill="1" applyBorder="1"/>
    <xf numFmtId="0" fontId="1" fillId="2" borderId="3" xfId="0" applyFont="1" applyFill="1" applyBorder="1"/>
    <xf numFmtId="42" fontId="1" fillId="2" borderId="16" xfId="0" applyNumberFormat="1" applyFont="1" applyFill="1" applyBorder="1" applyAlignment="1"/>
    <xf numFmtId="42" fontId="1" fillId="2" borderId="17" xfId="0" applyNumberFormat="1" applyFont="1" applyFill="1" applyBorder="1" applyAlignment="1"/>
    <xf numFmtId="17" fontId="1" fillId="2" borderId="16" xfId="0" applyNumberFormat="1" applyFont="1" applyFill="1" applyBorder="1" applyAlignment="1"/>
    <xf numFmtId="42" fontId="1" fillId="2" borderId="0" xfId="0" applyNumberFormat="1" applyFont="1" applyFill="1" applyBorder="1" applyAlignment="1"/>
    <xf numFmtId="0" fontId="1" fillId="5" borderId="15" xfId="0" applyFont="1" applyFill="1" applyBorder="1"/>
    <xf numFmtId="0" fontId="1" fillId="5" borderId="3" xfId="0" applyFont="1" applyFill="1" applyBorder="1"/>
    <xf numFmtId="42" fontId="1" fillId="5" borderId="17" xfId="0" applyNumberFormat="1" applyFont="1" applyFill="1" applyBorder="1" applyAlignment="1"/>
    <xf numFmtId="42" fontId="1" fillId="2" borderId="16" xfId="0" applyNumberFormat="1" applyFont="1" applyFill="1" applyBorder="1"/>
    <xf numFmtId="42" fontId="1" fillId="2" borderId="17" xfId="0" applyNumberFormat="1" applyFont="1" applyFill="1" applyBorder="1"/>
    <xf numFmtId="42" fontId="1" fillId="5" borderId="16" xfId="0" applyNumberFormat="1" applyFont="1" applyFill="1" applyBorder="1"/>
    <xf numFmtId="42" fontId="1" fillId="5" borderId="17" xfId="0" applyNumberFormat="1" applyFont="1" applyFill="1" applyBorder="1"/>
    <xf numFmtId="42" fontId="1" fillId="2" borderId="0" xfId="0" applyNumberFormat="1" applyFont="1" applyFill="1" applyBorder="1" applyAlignment="1">
      <alignment horizontal="left"/>
    </xf>
    <xf numFmtId="42" fontId="1" fillId="5" borderId="12" xfId="0" applyNumberFormat="1" applyFont="1" applyFill="1" applyBorder="1" applyAlignment="1"/>
    <xf numFmtId="42" fontId="1" fillId="2" borderId="12" xfId="0" applyNumberFormat="1" applyFont="1" applyFill="1" applyBorder="1" applyAlignment="1"/>
    <xf numFmtId="0" fontId="1" fillId="2" borderId="18" xfId="0" applyFont="1" applyFill="1" applyBorder="1"/>
    <xf numFmtId="0" fontId="1" fillId="2" borderId="19" xfId="0" applyFont="1" applyFill="1" applyBorder="1"/>
    <xf numFmtId="42" fontId="1" fillId="2" borderId="20" xfId="0" applyNumberFormat="1" applyFont="1" applyFill="1" applyBorder="1"/>
    <xf numFmtId="42" fontId="1" fillId="2" borderId="21" xfId="0" applyNumberFormat="1" applyFont="1" applyFill="1" applyBorder="1" applyAlignment="1">
      <alignment horizontal="center"/>
    </xf>
    <xf numFmtId="42" fontId="1" fillId="2" borderId="0" xfId="0" applyNumberFormat="1" applyFont="1" applyFill="1" applyBorder="1" applyAlignment="1">
      <alignment horizontal="center"/>
    </xf>
    <xf numFmtId="0" fontId="1" fillId="5" borderId="18" xfId="0" applyFont="1" applyFill="1" applyBorder="1"/>
    <xf numFmtId="0" fontId="1" fillId="5" borderId="19" xfId="0" applyFont="1" applyFill="1" applyBorder="1"/>
    <xf numFmtId="42" fontId="1" fillId="5" borderId="2" xfId="0" applyNumberFormat="1" applyFont="1" applyFill="1" applyBorder="1"/>
    <xf numFmtId="42" fontId="1" fillId="5" borderId="21" xfId="0" applyNumberFormat="1" applyFont="1" applyFill="1" applyBorder="1" applyAlignment="1">
      <alignment horizontal="center"/>
    </xf>
    <xf numFmtId="0" fontId="1" fillId="2" borderId="22" xfId="0" applyFont="1" applyFill="1" applyBorder="1"/>
    <xf numFmtId="0" fontId="1" fillId="2" borderId="23" xfId="0" applyFont="1" applyFill="1" applyBorder="1"/>
    <xf numFmtId="42" fontId="1" fillId="2" borderId="23" xfId="0" applyNumberFormat="1" applyFont="1" applyFill="1" applyBorder="1"/>
    <xf numFmtId="42" fontId="1" fillId="2" borderId="24" xfId="0" applyNumberFormat="1" applyFont="1" applyFill="1" applyBorder="1" applyAlignment="1">
      <alignment horizontal="center"/>
    </xf>
    <xf numFmtId="0" fontId="1" fillId="5" borderId="22" xfId="0" applyFont="1" applyFill="1" applyBorder="1"/>
    <xf numFmtId="0" fontId="1" fillId="5" borderId="23" xfId="0" applyFont="1" applyFill="1" applyBorder="1"/>
    <xf numFmtId="42" fontId="1" fillId="5" borderId="23" xfId="0" applyNumberFormat="1" applyFont="1" applyFill="1" applyBorder="1"/>
    <xf numFmtId="42" fontId="1" fillId="5" borderId="24" xfId="0" applyNumberFormat="1" applyFont="1" applyFill="1" applyBorder="1" applyAlignment="1">
      <alignment horizontal="center"/>
    </xf>
    <xf numFmtId="0" fontId="1" fillId="2" borderId="26" xfId="0" applyFont="1" applyFill="1" applyBorder="1"/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42" fontId="2" fillId="2" borderId="29" xfId="0" applyNumberFormat="1" applyFont="1" applyFill="1" applyBorder="1" applyAlignment="1">
      <alignment horizontal="center" vertical="center"/>
    </xf>
    <xf numFmtId="42" fontId="2" fillId="2" borderId="30" xfId="0" applyNumberFormat="1" applyFont="1" applyFill="1" applyBorder="1" applyAlignment="1">
      <alignment horizontal="center" vertical="center"/>
    </xf>
    <xf numFmtId="42" fontId="2" fillId="2" borderId="0" xfId="0" applyNumberFormat="1" applyFont="1" applyFill="1" applyBorder="1" applyAlignment="1">
      <alignment horizontal="center" vertical="center"/>
    </xf>
    <xf numFmtId="0" fontId="2" fillId="5" borderId="31" xfId="0" applyFont="1" applyFill="1" applyBorder="1" applyAlignment="1">
      <alignment horizontal="center" vertical="center"/>
    </xf>
    <xf numFmtId="0" fontId="2" fillId="5" borderId="32" xfId="0" applyFont="1" applyFill="1" applyBorder="1" applyAlignment="1">
      <alignment horizontal="center" vertical="center"/>
    </xf>
    <xf numFmtId="42" fontId="2" fillId="5" borderId="32" xfId="0" applyNumberFormat="1" applyFont="1" applyFill="1" applyBorder="1" applyAlignment="1">
      <alignment horizontal="center" vertical="center"/>
    </xf>
    <xf numFmtId="42" fontId="2" fillId="5" borderId="33" xfId="0" applyNumberFormat="1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/>
    </xf>
    <xf numFmtId="14" fontId="1" fillId="2" borderId="2" xfId="0" applyNumberFormat="1" applyFont="1" applyFill="1" applyBorder="1" applyAlignment="1">
      <alignment horizontal="center"/>
    </xf>
    <xf numFmtId="42" fontId="1" fillId="2" borderId="35" xfId="0" applyNumberFormat="1" applyFont="1" applyFill="1" applyBorder="1"/>
    <xf numFmtId="0" fontId="1" fillId="2" borderId="25" xfId="0" applyFont="1" applyFill="1" applyBorder="1" applyAlignment="1">
      <alignment horizontal="center"/>
    </xf>
    <xf numFmtId="14" fontId="1" fillId="2" borderId="26" xfId="0" applyNumberFormat="1" applyFont="1" applyFill="1" applyBorder="1" applyAlignment="1">
      <alignment horizontal="center"/>
    </xf>
    <xf numFmtId="42" fontId="1" fillId="2" borderId="27" xfId="0" applyNumberFormat="1" applyFont="1" applyFill="1" applyBorder="1"/>
    <xf numFmtId="0" fontId="1" fillId="5" borderId="36" xfId="0" applyFont="1" applyFill="1" applyBorder="1" applyAlignment="1">
      <alignment horizontal="center"/>
    </xf>
    <xf numFmtId="0" fontId="1" fillId="5" borderId="37" xfId="0" applyFont="1" applyFill="1" applyBorder="1"/>
    <xf numFmtId="14" fontId="1" fillId="5" borderId="37" xfId="0" applyNumberFormat="1" applyFont="1" applyFill="1" applyBorder="1" applyAlignment="1">
      <alignment horizontal="center"/>
    </xf>
    <xf numFmtId="42" fontId="1" fillId="5" borderId="38" xfId="0" applyNumberFormat="1" applyFont="1" applyFill="1" applyBorder="1"/>
    <xf numFmtId="0" fontId="1" fillId="5" borderId="34" xfId="0" applyFont="1" applyFill="1" applyBorder="1" applyAlignment="1">
      <alignment horizontal="center"/>
    </xf>
    <xf numFmtId="0" fontId="1" fillId="5" borderId="2" xfId="0" applyFont="1" applyFill="1" applyBorder="1"/>
    <xf numFmtId="14" fontId="1" fillId="5" borderId="2" xfId="0" applyNumberFormat="1" applyFont="1" applyFill="1" applyBorder="1" applyAlignment="1">
      <alignment horizontal="center"/>
    </xf>
    <xf numFmtId="42" fontId="1" fillId="5" borderId="35" xfId="0" applyNumberFormat="1" applyFont="1" applyFill="1" applyBorder="1"/>
    <xf numFmtId="42" fontId="1" fillId="2" borderId="2" xfId="0" applyNumberFormat="1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9" xfId="0" applyFont="1" applyFill="1" applyBorder="1" applyAlignment="1">
      <alignment horizontal="center"/>
    </xf>
    <xf numFmtId="0" fontId="1" fillId="5" borderId="40" xfId="0" applyFont="1" applyFill="1" applyBorder="1"/>
    <xf numFmtId="0" fontId="1" fillId="5" borderId="40" xfId="0" applyFont="1" applyFill="1" applyBorder="1" applyAlignment="1">
      <alignment horizontal="center"/>
    </xf>
    <xf numFmtId="0" fontId="0" fillId="5" borderId="41" xfId="0" applyFill="1" applyBorder="1"/>
    <xf numFmtId="0" fontId="1" fillId="2" borderId="39" xfId="0" applyFont="1" applyFill="1" applyBorder="1"/>
    <xf numFmtId="0" fontId="1" fillId="2" borderId="40" xfId="0" applyFont="1" applyFill="1" applyBorder="1"/>
    <xf numFmtId="42" fontId="1" fillId="2" borderId="41" xfId="0" applyNumberFormat="1" applyFont="1" applyFill="1" applyBorder="1"/>
    <xf numFmtId="0" fontId="1" fillId="5" borderId="4" xfId="0" applyFont="1" applyFill="1" applyBorder="1" applyAlignment="1">
      <alignment horizontal="center"/>
    </xf>
    <xf numFmtId="0" fontId="1" fillId="5" borderId="5" xfId="0" applyFont="1" applyFill="1" applyBorder="1"/>
    <xf numFmtId="0" fontId="1" fillId="5" borderId="5" xfId="0" applyFont="1" applyFill="1" applyBorder="1" applyAlignment="1">
      <alignment horizontal="center"/>
    </xf>
    <xf numFmtId="42" fontId="1" fillId="5" borderId="6" xfId="0" applyNumberFormat="1" applyFont="1" applyFill="1" applyBorder="1"/>
    <xf numFmtId="42" fontId="1" fillId="3" borderId="0" xfId="0" applyNumberFormat="1" applyFont="1" applyFill="1"/>
    <xf numFmtId="42" fontId="1" fillId="3" borderId="0" xfId="0" applyNumberFormat="1" applyFont="1" applyFill="1" applyBorder="1"/>
    <xf numFmtId="0" fontId="1" fillId="2" borderId="36" xfId="0" applyFont="1" applyFill="1" applyBorder="1" applyAlignment="1">
      <alignment horizontal="center"/>
    </xf>
    <xf numFmtId="0" fontId="1" fillId="2" borderId="37" xfId="0" applyFont="1" applyFill="1" applyBorder="1"/>
    <xf numFmtId="14" fontId="1" fillId="2" borderId="37" xfId="0" applyNumberFormat="1" applyFont="1" applyFill="1" applyBorder="1" applyAlignment="1">
      <alignment horizontal="center"/>
    </xf>
    <xf numFmtId="42" fontId="1" fillId="2" borderId="38" xfId="0" applyNumberFormat="1" applyFont="1" applyFill="1" applyBorder="1"/>
    <xf numFmtId="0" fontId="1" fillId="2" borderId="39" xfId="0" applyFont="1" applyFill="1" applyBorder="1" applyAlignment="1">
      <alignment horizontal="center"/>
    </xf>
    <xf numFmtId="42" fontId="2" fillId="2" borderId="17" xfId="0" applyNumberFormat="1" applyFont="1" applyFill="1" applyBorder="1" applyAlignment="1"/>
    <xf numFmtId="42" fontId="2" fillId="2" borderId="16" xfId="0" applyNumberFormat="1" applyFont="1" applyFill="1" applyBorder="1"/>
    <xf numFmtId="42" fontId="2" fillId="2" borderId="17" xfId="0" applyNumberFormat="1" applyFont="1" applyFill="1" applyBorder="1"/>
    <xf numFmtId="42" fontId="2" fillId="2" borderId="12" xfId="0" applyNumberFormat="1" applyFont="1" applyFill="1" applyBorder="1" applyAlignment="1"/>
    <xf numFmtId="42" fontId="2" fillId="2" borderId="20" xfId="0" applyNumberFormat="1" applyFont="1" applyFill="1" applyBorder="1"/>
    <xf numFmtId="42" fontId="2" fillId="2" borderId="21" xfId="0" applyNumberFormat="1" applyFont="1" applyFill="1" applyBorder="1" applyAlignment="1">
      <alignment horizontal="center"/>
    </xf>
    <xf numFmtId="0" fontId="0" fillId="2" borderId="0" xfId="0" applyFill="1" applyBorder="1"/>
    <xf numFmtId="17" fontId="1" fillId="2" borderId="16" xfId="0" quotePrefix="1" applyNumberFormat="1" applyFont="1" applyFill="1" applyBorder="1" applyAlignment="1"/>
    <xf numFmtId="17" fontId="1" fillId="5" borderId="16" xfId="0" quotePrefix="1" applyNumberFormat="1" applyFont="1" applyFill="1" applyBorder="1" applyAlignment="1"/>
    <xf numFmtId="17" fontId="2" fillId="2" borderId="16" xfId="0" quotePrefix="1" applyNumberFormat="1" applyFont="1" applyFill="1" applyBorder="1" applyAlignment="1"/>
    <xf numFmtId="17" fontId="1" fillId="0" borderId="2" xfId="0" quotePrefix="1" applyNumberFormat="1" applyFont="1" applyBorder="1"/>
    <xf numFmtId="0" fontId="1" fillId="0" borderId="2" xfId="0" quotePrefix="1" applyFont="1" applyBorder="1"/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6" borderId="15" xfId="0" applyFont="1" applyFill="1" applyBorder="1"/>
    <xf numFmtId="0" fontId="1" fillId="6" borderId="3" xfId="0" applyFont="1" applyFill="1" applyBorder="1"/>
    <xf numFmtId="17" fontId="1" fillId="6" borderId="16" xfId="0" quotePrefix="1" applyNumberFormat="1" applyFont="1" applyFill="1" applyBorder="1" applyAlignment="1"/>
    <xf numFmtId="42" fontId="1" fillId="6" borderId="17" xfId="0" applyNumberFormat="1" applyFont="1" applyFill="1" applyBorder="1" applyAlignment="1"/>
    <xf numFmtId="42" fontId="1" fillId="6" borderId="16" xfId="0" applyNumberFormat="1" applyFont="1" applyFill="1" applyBorder="1"/>
    <xf numFmtId="42" fontId="1" fillId="6" borderId="17" xfId="0" applyNumberFormat="1" applyFont="1" applyFill="1" applyBorder="1"/>
    <xf numFmtId="42" fontId="1" fillId="6" borderId="12" xfId="0" applyNumberFormat="1" applyFont="1" applyFill="1" applyBorder="1" applyAlignment="1"/>
    <xf numFmtId="0" fontId="1" fillId="6" borderId="18" xfId="0" applyFont="1" applyFill="1" applyBorder="1"/>
    <xf numFmtId="0" fontId="1" fillId="6" borderId="19" xfId="0" applyFont="1" applyFill="1" applyBorder="1"/>
    <xf numFmtId="42" fontId="1" fillId="6" borderId="20" xfId="0" applyNumberFormat="1" applyFont="1" applyFill="1" applyBorder="1"/>
    <xf numFmtId="42" fontId="1" fillId="6" borderId="21" xfId="0" applyNumberFormat="1" applyFont="1" applyFill="1" applyBorder="1" applyAlignment="1">
      <alignment horizontal="center"/>
    </xf>
    <xf numFmtId="0" fontId="1" fillId="6" borderId="20" xfId="0" applyFont="1" applyFill="1" applyBorder="1"/>
    <xf numFmtId="0" fontId="2" fillId="6" borderId="36" xfId="0" applyFont="1" applyFill="1" applyBorder="1" applyAlignment="1">
      <alignment horizontal="center" vertical="center"/>
    </xf>
    <xf numFmtId="0" fontId="2" fillId="6" borderId="37" xfId="0" applyFont="1" applyFill="1" applyBorder="1" applyAlignment="1">
      <alignment horizontal="center" vertical="center"/>
    </xf>
    <xf numFmtId="42" fontId="2" fillId="6" borderId="37" xfId="0" applyNumberFormat="1" applyFont="1" applyFill="1" applyBorder="1" applyAlignment="1">
      <alignment horizontal="center" vertical="center"/>
    </xf>
    <xf numFmtId="42" fontId="2" fillId="6" borderId="38" xfId="0" applyNumberFormat="1" applyFon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/>
    </xf>
    <xf numFmtId="0" fontId="1" fillId="6" borderId="2" xfId="0" applyFont="1" applyFill="1" applyBorder="1"/>
    <xf numFmtId="14" fontId="1" fillId="6" borderId="2" xfId="0" applyNumberFormat="1" applyFont="1" applyFill="1" applyBorder="1" applyAlignment="1">
      <alignment horizontal="center"/>
    </xf>
    <xf numFmtId="42" fontId="1" fillId="6" borderId="35" xfId="0" applyNumberFormat="1" applyFont="1" applyFill="1" applyBorder="1"/>
    <xf numFmtId="42" fontId="1" fillId="6" borderId="41" xfId="0" applyNumberFormat="1" applyFont="1" applyFill="1" applyBorder="1"/>
    <xf numFmtId="42" fontId="1" fillId="6" borderId="0" xfId="0" applyNumberFormat="1" applyFont="1" applyFill="1" applyBorder="1"/>
    <xf numFmtId="0" fontId="1" fillId="6" borderId="44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42" fontId="1" fillId="3" borderId="30" xfId="0" applyNumberFormat="1" applyFont="1" applyFill="1" applyBorder="1"/>
    <xf numFmtId="42" fontId="11" fillId="2" borderId="21" xfId="0" applyNumberFormat="1" applyFont="1" applyFill="1" applyBorder="1" applyAlignment="1">
      <alignment horizontal="center"/>
    </xf>
    <xf numFmtId="14" fontId="1" fillId="2" borderId="0" xfId="0" applyNumberFormat="1" applyFont="1" applyFill="1" applyBorder="1" applyAlignment="1">
      <alignment horizont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42" fontId="1" fillId="0" borderId="0" xfId="0" applyNumberFormat="1" applyFont="1" applyAlignment="1">
      <alignment vertical="center"/>
    </xf>
    <xf numFmtId="0" fontId="0" fillId="2" borderId="0" xfId="0" applyFill="1" applyBorder="1" applyAlignment="1">
      <alignment vertical="center"/>
    </xf>
    <xf numFmtId="0" fontId="1" fillId="0" borderId="0" xfId="0" applyFont="1" applyBorder="1" applyAlignment="1">
      <alignment vertical="center"/>
    </xf>
    <xf numFmtId="42" fontId="1" fillId="0" borderId="0" xfId="0" applyNumberFormat="1" applyFont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14" fillId="2" borderId="0" xfId="0" applyFont="1" applyFill="1"/>
    <xf numFmtId="0" fontId="13" fillId="0" borderId="0" xfId="0" applyFont="1"/>
    <xf numFmtId="42" fontId="13" fillId="0" borderId="0" xfId="0" applyNumberFormat="1" applyFont="1"/>
    <xf numFmtId="0" fontId="13" fillId="2" borderId="2" xfId="0" applyFont="1" applyFill="1" applyBorder="1"/>
    <xf numFmtId="0" fontId="13" fillId="2" borderId="2" xfId="0" quotePrefix="1" applyNumberFormat="1" applyFont="1" applyFill="1" applyBorder="1" applyAlignment="1"/>
    <xf numFmtId="0" fontId="13" fillId="2" borderId="0" xfId="0" applyFont="1" applyFill="1"/>
    <xf numFmtId="0" fontId="14" fillId="0" borderId="0" xfId="0" applyFont="1"/>
    <xf numFmtId="0" fontId="13" fillId="0" borderId="2" xfId="0" applyFont="1" applyBorder="1"/>
    <xf numFmtId="42" fontId="13" fillId="2" borderId="2" xfId="0" applyNumberFormat="1" applyFont="1" applyFill="1" applyBorder="1"/>
    <xf numFmtId="0" fontId="13" fillId="2" borderId="0" xfId="0" applyFont="1" applyFill="1" applyBorder="1" applyAlignment="1">
      <alignment vertical="center"/>
    </xf>
    <xf numFmtId="0" fontId="13" fillId="2" borderId="34" xfId="0" applyFont="1" applyFill="1" applyBorder="1" applyAlignment="1">
      <alignment horizontal="center"/>
    </xf>
    <xf numFmtId="42" fontId="13" fillId="2" borderId="35" xfId="0" applyNumberFormat="1" applyFont="1" applyFill="1" applyBorder="1" applyAlignment="1"/>
    <xf numFmtId="42" fontId="13" fillId="0" borderId="35" xfId="0" applyNumberFormat="1" applyFont="1" applyBorder="1"/>
    <xf numFmtId="42" fontId="13" fillId="2" borderId="35" xfId="0" applyNumberFormat="1" applyFont="1" applyFill="1" applyBorder="1" applyAlignment="1">
      <alignment horizontal="center"/>
    </xf>
    <xf numFmtId="0" fontId="13" fillId="2" borderId="39" xfId="0" applyFont="1" applyFill="1" applyBorder="1" applyAlignment="1">
      <alignment horizontal="center"/>
    </xf>
    <xf numFmtId="0" fontId="13" fillId="2" borderId="40" xfId="0" applyFont="1" applyFill="1" applyBorder="1"/>
    <xf numFmtId="42" fontId="13" fillId="2" borderId="40" xfId="0" applyNumberFormat="1" applyFont="1" applyFill="1" applyBorder="1"/>
    <xf numFmtId="42" fontId="13" fillId="2" borderId="41" xfId="0" applyNumberFormat="1" applyFont="1" applyFill="1" applyBorder="1" applyAlignment="1">
      <alignment horizontal="center"/>
    </xf>
    <xf numFmtId="0" fontId="1" fillId="2" borderId="43" xfId="0" applyFont="1" applyFill="1" applyBorder="1"/>
    <xf numFmtId="0" fontId="1" fillId="2" borderId="51" xfId="0" applyFont="1" applyFill="1" applyBorder="1"/>
    <xf numFmtId="0" fontId="1" fillId="2" borderId="52" xfId="0" applyFont="1" applyFill="1" applyBorder="1"/>
    <xf numFmtId="42" fontId="1" fillId="2" borderId="52" xfId="0" applyNumberFormat="1" applyFont="1" applyFill="1" applyBorder="1"/>
    <xf numFmtId="42" fontId="1" fillId="2" borderId="53" xfId="0" applyNumberFormat="1" applyFont="1" applyFill="1" applyBorder="1" applyAlignment="1">
      <alignment horizontal="center"/>
    </xf>
    <xf numFmtId="0" fontId="10" fillId="2" borderId="25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42" fontId="10" fillId="2" borderId="26" xfId="0" applyNumberFormat="1" applyFont="1" applyFill="1" applyBorder="1" applyAlignment="1">
      <alignment horizontal="center" vertical="center"/>
    </xf>
    <xf numFmtId="42" fontId="10" fillId="2" borderId="27" xfId="0" applyNumberFormat="1" applyFont="1" applyFill="1" applyBorder="1" applyAlignment="1">
      <alignment horizontal="center" vertical="center"/>
    </xf>
    <xf numFmtId="0" fontId="11" fillId="2" borderId="0" xfId="0" applyFont="1" applyFill="1" applyBorder="1"/>
    <xf numFmtId="0" fontId="11" fillId="2" borderId="2" xfId="0" applyFont="1" applyFill="1" applyBorder="1"/>
    <xf numFmtId="42" fontId="13" fillId="2" borderId="2" xfId="0" applyNumberFormat="1" applyFont="1" applyFill="1" applyBorder="1" applyAlignment="1"/>
    <xf numFmtId="42" fontId="13" fillId="0" borderId="2" xfId="0" applyNumberFormat="1" applyFont="1" applyBorder="1"/>
    <xf numFmtId="0" fontId="14" fillId="0" borderId="2" xfId="0" applyFont="1" applyBorder="1"/>
    <xf numFmtId="42" fontId="13" fillId="2" borderId="2" xfId="0" applyNumberFormat="1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left" vertical="center"/>
    </xf>
    <xf numFmtId="0" fontId="13" fillId="2" borderId="2" xfId="0" applyFont="1" applyFill="1" applyBorder="1" applyAlignment="1">
      <alignment vertical="center"/>
    </xf>
    <xf numFmtId="0" fontId="13" fillId="2" borderId="2" xfId="0" quotePrefix="1" applyNumberFormat="1" applyFont="1" applyFill="1" applyBorder="1" applyAlignment="1">
      <alignment vertical="center"/>
    </xf>
    <xf numFmtId="0" fontId="13" fillId="7" borderId="2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left" vertical="center"/>
    </xf>
    <xf numFmtId="0" fontId="13" fillId="2" borderId="2" xfId="0" applyFont="1" applyFill="1" applyBorder="1" applyAlignment="1">
      <alignment horizontal="left" vertical="center"/>
    </xf>
    <xf numFmtId="0" fontId="13" fillId="2" borderId="2" xfId="0" applyFont="1" applyFill="1" applyBorder="1" applyAlignment="1">
      <alignment horizontal="center" vertical="center"/>
    </xf>
    <xf numFmtId="42" fontId="13" fillId="2" borderId="0" xfId="0" applyNumberFormat="1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center" vertical="center"/>
    </xf>
    <xf numFmtId="42" fontId="1" fillId="2" borderId="0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2" fillId="6" borderId="8" xfId="0" applyFont="1" applyFill="1" applyBorder="1" applyAlignment="1">
      <alignment horizontal="left" vertical="center"/>
    </xf>
    <xf numFmtId="0" fontId="2" fillId="6" borderId="13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6" borderId="14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10" fillId="4" borderId="7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2" fillId="4" borderId="8" xfId="0" applyFont="1" applyFill="1" applyBorder="1" applyAlignment="1">
      <alignment horizontal="left" vertical="center"/>
    </xf>
    <xf numFmtId="0" fontId="2" fillId="4" borderId="13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4" xfId="0" applyFont="1" applyFill="1" applyBorder="1" applyAlignment="1">
      <alignment horizontal="left" vertical="center"/>
    </xf>
    <xf numFmtId="0" fontId="10" fillId="6" borderId="46" xfId="0" applyFont="1" applyFill="1" applyBorder="1" applyAlignment="1">
      <alignment horizontal="center" vertical="center"/>
    </xf>
    <xf numFmtId="0" fontId="10" fillId="6" borderId="20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0" fillId="6" borderId="47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48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38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left" vertical="center"/>
    </xf>
    <xf numFmtId="0" fontId="13" fillId="3" borderId="2" xfId="0" applyFont="1" applyFill="1" applyBorder="1" applyAlignment="1">
      <alignment horizontal="left" vertical="center"/>
    </xf>
    <xf numFmtId="0" fontId="13" fillId="3" borderId="35" xfId="0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2" fillId="3" borderId="13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4" xfId="0" applyFont="1" applyFill="1" applyBorder="1" applyAlignment="1">
      <alignment horizontal="left" vertical="center"/>
    </xf>
    <xf numFmtId="0" fontId="1" fillId="6" borderId="45" xfId="0" applyFont="1" applyFill="1" applyBorder="1" applyAlignment="1">
      <alignment horizontal="center"/>
    </xf>
    <xf numFmtId="0" fontId="1" fillId="2" borderId="42" xfId="0" applyFont="1" applyFill="1" applyBorder="1" applyAlignment="1">
      <alignment horizontal="center"/>
    </xf>
    <xf numFmtId="0" fontId="1" fillId="2" borderId="4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1" fillId="2" borderId="50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42" fontId="1" fillId="2" borderId="12" xfId="0" applyNumberFormat="1" applyFont="1" applyFill="1" applyBorder="1" applyAlignment="1">
      <alignment horizontal="left"/>
    </xf>
    <xf numFmtId="42" fontId="1" fillId="2" borderId="17" xfId="0" applyNumberFormat="1" applyFont="1" applyFill="1" applyBorder="1" applyAlignment="1">
      <alignment horizontal="left"/>
    </xf>
    <xf numFmtId="0" fontId="6" fillId="5" borderId="7" xfId="0" applyFont="1" applyFill="1" applyBorder="1" applyAlignment="1">
      <alignment horizontal="left" vertical="center"/>
    </xf>
    <xf numFmtId="0" fontId="6" fillId="5" borderId="0" xfId="0" applyFont="1" applyFill="1" applyBorder="1" applyAlignment="1">
      <alignment horizontal="left" vertical="center"/>
    </xf>
    <xf numFmtId="0" fontId="6" fillId="5" borderId="8" xfId="0" applyFont="1" applyFill="1" applyBorder="1" applyAlignment="1">
      <alignment horizontal="left" vertical="center"/>
    </xf>
    <xf numFmtId="0" fontId="6" fillId="5" borderId="13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6" fillId="5" borderId="14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1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left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2x@550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160"/>
  <sheetViews>
    <sheetView tabSelected="1" topLeftCell="A94" zoomScale="91" zoomScaleNormal="91" workbookViewId="0">
      <selection activeCell="F103" sqref="F103"/>
    </sheetView>
  </sheetViews>
  <sheetFormatPr defaultColWidth="9" defaultRowHeight="16.5"/>
  <cols>
    <col min="1" max="1" width="3.7109375" style="58" customWidth="1"/>
    <col min="2" max="2" width="4" style="10" customWidth="1"/>
    <col min="3" max="3" width="30.42578125" style="10" customWidth="1"/>
    <col min="4" max="4" width="19.85546875" style="10" customWidth="1"/>
    <col min="5" max="5" width="18.140625" style="11" customWidth="1"/>
    <col min="6" max="7" width="4.42578125" style="58" customWidth="1"/>
    <col min="8" max="8" width="4" style="10" customWidth="1"/>
    <col min="9" max="9" width="24.85546875" style="10" customWidth="1"/>
    <col min="10" max="10" width="20" style="10" customWidth="1"/>
    <col min="11" max="11" width="20.140625" style="11" customWidth="1"/>
    <col min="12" max="12" width="4.5703125" style="20" customWidth="1"/>
    <col min="13" max="13" width="4.5703125" style="58" customWidth="1"/>
    <col min="14" max="14" width="4" style="10" customWidth="1"/>
    <col min="15" max="15" width="17.5703125" style="10" customWidth="1"/>
    <col min="16" max="16" width="17.28515625" style="10" customWidth="1"/>
    <col min="17" max="17" width="21.5703125" style="11" customWidth="1"/>
    <col min="18" max="18" width="3.7109375" style="58" customWidth="1"/>
    <col min="19" max="19" width="4" style="19" customWidth="1"/>
    <col min="20" max="20" width="22" style="19" customWidth="1"/>
    <col min="21" max="21" width="17.7109375" style="10" customWidth="1"/>
    <col min="22" max="22" width="18.140625" style="11" customWidth="1"/>
  </cols>
  <sheetData>
    <row r="2" spans="2:22" ht="17.25" thickBot="1">
      <c r="B2" s="2"/>
      <c r="C2" s="2"/>
      <c r="D2" s="3"/>
      <c r="E2" s="3"/>
      <c r="H2" s="2"/>
      <c r="I2" s="2"/>
      <c r="J2" s="3"/>
      <c r="K2" s="3"/>
      <c r="L2" s="3"/>
      <c r="N2" s="2"/>
      <c r="O2" s="2"/>
      <c r="P2" s="3"/>
      <c r="Q2" s="3"/>
      <c r="S2" s="2"/>
      <c r="T2" s="2"/>
      <c r="U2" s="3"/>
      <c r="V2" s="3"/>
    </row>
    <row r="3" spans="2:22">
      <c r="B3" s="59"/>
      <c r="C3" s="239" t="s">
        <v>0</v>
      </c>
      <c r="D3" s="239"/>
      <c r="E3" s="240"/>
      <c r="H3" s="238" t="s">
        <v>0</v>
      </c>
      <c r="I3" s="239"/>
      <c r="J3" s="239"/>
      <c r="K3" s="240"/>
      <c r="L3" s="4"/>
      <c r="N3" s="283" t="s">
        <v>0</v>
      </c>
      <c r="O3" s="284"/>
      <c r="P3" s="284"/>
      <c r="Q3" s="285"/>
      <c r="S3" s="238" t="s">
        <v>0</v>
      </c>
      <c r="T3" s="239"/>
      <c r="U3" s="239"/>
      <c r="V3" s="240"/>
    </row>
    <row r="4" spans="2:22" ht="16.5" customHeight="1">
      <c r="B4" s="241" t="s">
        <v>192</v>
      </c>
      <c r="C4" s="242"/>
      <c r="D4" s="242"/>
      <c r="E4" s="243"/>
      <c r="H4" s="259" t="s">
        <v>1</v>
      </c>
      <c r="I4" s="242"/>
      <c r="J4" s="242"/>
      <c r="K4" s="243"/>
      <c r="L4" s="60"/>
      <c r="N4" s="288" t="s">
        <v>2</v>
      </c>
      <c r="O4" s="289"/>
      <c r="P4" s="289"/>
      <c r="Q4" s="290"/>
      <c r="S4" s="259" t="s">
        <v>3</v>
      </c>
      <c r="T4" s="242"/>
      <c r="U4" s="242"/>
      <c r="V4" s="243"/>
    </row>
    <row r="5" spans="2:22" ht="16.5" customHeight="1">
      <c r="B5" s="244"/>
      <c r="C5" s="245"/>
      <c r="D5" s="245"/>
      <c r="E5" s="246"/>
      <c r="H5" s="244"/>
      <c r="I5" s="245"/>
      <c r="J5" s="245"/>
      <c r="K5" s="246"/>
      <c r="L5" s="60"/>
      <c r="N5" s="291"/>
      <c r="O5" s="292"/>
      <c r="P5" s="292"/>
      <c r="Q5" s="293"/>
      <c r="S5" s="244"/>
      <c r="T5" s="245"/>
      <c r="U5" s="245"/>
      <c r="V5" s="246"/>
    </row>
    <row r="6" spans="2:22" s="58" customFormat="1">
      <c r="B6" s="61"/>
      <c r="C6" s="62" t="s">
        <v>4</v>
      </c>
      <c r="D6" s="63" t="s">
        <v>5</v>
      </c>
      <c r="E6" s="64"/>
      <c r="H6" s="61"/>
      <c r="I6" s="62" t="s">
        <v>4</v>
      </c>
      <c r="J6" s="145" t="s">
        <v>6</v>
      </c>
      <c r="K6" s="64"/>
      <c r="L6" s="66"/>
      <c r="N6" s="67"/>
      <c r="O6" s="68" t="s">
        <v>4</v>
      </c>
      <c r="P6" s="146" t="s">
        <v>7</v>
      </c>
      <c r="Q6" s="69"/>
      <c r="S6" s="61"/>
      <c r="T6" s="62" t="s">
        <v>4</v>
      </c>
      <c r="U6" s="145" t="s">
        <v>8</v>
      </c>
      <c r="V6" s="64"/>
    </row>
    <row r="7" spans="2:22" s="58" customFormat="1">
      <c r="B7" s="61"/>
      <c r="C7" s="62" t="s">
        <v>9</v>
      </c>
      <c r="D7" s="70">
        <v>1500000</v>
      </c>
      <c r="E7" s="71"/>
      <c r="H7" s="61"/>
      <c r="I7" s="62" t="s">
        <v>9</v>
      </c>
      <c r="J7" s="70">
        <v>7500000</v>
      </c>
      <c r="K7" s="71"/>
      <c r="L7" s="3"/>
      <c r="N7" s="67"/>
      <c r="O7" s="68" t="s">
        <v>9</v>
      </c>
      <c r="P7" s="72">
        <v>3000000</v>
      </c>
      <c r="Q7" s="73"/>
      <c r="S7" s="61"/>
      <c r="T7" s="62" t="s">
        <v>9</v>
      </c>
      <c r="U7" s="70">
        <v>8000000</v>
      </c>
      <c r="V7" s="71"/>
    </row>
    <row r="8" spans="2:22" s="58" customFormat="1">
      <c r="B8" s="61"/>
      <c r="C8" s="62" t="s">
        <v>10</v>
      </c>
      <c r="D8" s="70">
        <v>150000</v>
      </c>
      <c r="E8" s="71"/>
      <c r="H8" s="61"/>
      <c r="I8" s="62"/>
      <c r="J8" s="286" t="s">
        <v>11</v>
      </c>
      <c r="K8" s="287"/>
      <c r="L8" s="74"/>
      <c r="N8" s="67"/>
      <c r="O8" s="68" t="s">
        <v>10</v>
      </c>
      <c r="P8" s="75">
        <v>300000</v>
      </c>
      <c r="Q8" s="69"/>
      <c r="S8" s="61"/>
      <c r="T8" s="62" t="s">
        <v>10</v>
      </c>
      <c r="U8" s="76">
        <v>500000</v>
      </c>
      <c r="V8" s="64"/>
    </row>
    <row r="9" spans="2:22" s="58" customFormat="1" ht="17.25" thickBot="1">
      <c r="B9" s="86"/>
      <c r="C9" s="205" t="s">
        <v>12</v>
      </c>
      <c r="D9" s="88">
        <v>110000</v>
      </c>
      <c r="E9" s="89" t="s">
        <v>13</v>
      </c>
      <c r="H9" s="77"/>
      <c r="I9" s="78" t="s">
        <v>12</v>
      </c>
      <c r="J9" s="79">
        <v>500000</v>
      </c>
      <c r="K9" s="80" t="s">
        <v>13</v>
      </c>
      <c r="L9" s="81"/>
      <c r="N9" s="82"/>
      <c r="O9" s="83" t="s">
        <v>12</v>
      </c>
      <c r="P9" s="84">
        <v>330000</v>
      </c>
      <c r="Q9" s="85" t="s">
        <v>14</v>
      </c>
      <c r="S9" s="77"/>
      <c r="T9" s="78" t="s">
        <v>12</v>
      </c>
      <c r="U9" s="79">
        <v>850000</v>
      </c>
      <c r="V9" s="80" t="s">
        <v>14</v>
      </c>
    </row>
    <row r="10" spans="2:22" s="58" customFormat="1" ht="17.25" thickBot="1">
      <c r="B10" s="206"/>
      <c r="C10" s="207"/>
      <c r="D10" s="208"/>
      <c r="E10" s="209"/>
      <c r="H10" s="86"/>
      <c r="I10" s="87"/>
      <c r="J10" s="88"/>
      <c r="K10" s="89"/>
      <c r="L10" s="81"/>
      <c r="N10" s="90"/>
      <c r="O10" s="91"/>
      <c r="P10" s="92"/>
      <c r="Q10" s="93"/>
      <c r="S10" s="86"/>
      <c r="T10" s="87"/>
      <c r="U10" s="88"/>
      <c r="V10" s="89"/>
    </row>
    <row r="11" spans="2:22" s="58" customFormat="1" ht="29.25" customHeight="1" thickBot="1">
      <c r="B11" s="210" t="s">
        <v>15</v>
      </c>
      <c r="C11" s="211" t="s">
        <v>17</v>
      </c>
      <c r="D11" s="212" t="s">
        <v>189</v>
      </c>
      <c r="E11" s="213" t="s">
        <v>190</v>
      </c>
      <c r="H11" s="95" t="s">
        <v>15</v>
      </c>
      <c r="I11" s="96" t="s">
        <v>17</v>
      </c>
      <c r="J11" s="97" t="s">
        <v>18</v>
      </c>
      <c r="K11" s="98" t="s">
        <v>19</v>
      </c>
      <c r="L11" s="99"/>
      <c r="N11" s="100" t="s">
        <v>15</v>
      </c>
      <c r="O11" s="101" t="s">
        <v>17</v>
      </c>
      <c r="P11" s="102" t="s">
        <v>18</v>
      </c>
      <c r="Q11" s="103" t="s">
        <v>19</v>
      </c>
      <c r="S11" s="95" t="s">
        <v>15</v>
      </c>
      <c r="T11" s="96" t="s">
        <v>17</v>
      </c>
      <c r="U11" s="97" t="s">
        <v>18</v>
      </c>
      <c r="V11" s="98" t="s">
        <v>19</v>
      </c>
    </row>
    <row r="12" spans="2:22" s="58" customFormat="1">
      <c r="B12" s="104">
        <v>1</v>
      </c>
      <c r="C12" s="27" t="s">
        <v>20</v>
      </c>
      <c r="D12" s="105">
        <v>45810</v>
      </c>
      <c r="E12" s="106">
        <v>110000</v>
      </c>
      <c r="H12" s="107">
        <v>1</v>
      </c>
      <c r="I12" s="94" t="s">
        <v>20</v>
      </c>
      <c r="J12" s="108">
        <v>45568</v>
      </c>
      <c r="K12" s="109">
        <v>500000</v>
      </c>
      <c r="L12" s="3"/>
      <c r="N12" s="110">
        <v>1</v>
      </c>
      <c r="O12" s="111" t="s">
        <v>20</v>
      </c>
      <c r="P12" s="112">
        <v>45874</v>
      </c>
      <c r="Q12" s="113">
        <v>330000</v>
      </c>
      <c r="S12" s="107">
        <v>1</v>
      </c>
      <c r="T12" s="94" t="s">
        <v>20</v>
      </c>
      <c r="U12" s="108">
        <v>45902</v>
      </c>
      <c r="V12" s="109">
        <v>850000</v>
      </c>
    </row>
    <row r="13" spans="2:22" s="58" customFormat="1">
      <c r="B13" s="104">
        <v>2</v>
      </c>
      <c r="C13" s="27" t="s">
        <v>21</v>
      </c>
      <c r="D13" s="105">
        <v>45839</v>
      </c>
      <c r="E13" s="106">
        <v>110000</v>
      </c>
      <c r="H13" s="104">
        <v>2</v>
      </c>
      <c r="I13" s="27" t="s">
        <v>21</v>
      </c>
      <c r="J13" s="105">
        <v>45690</v>
      </c>
      <c r="K13" s="106">
        <v>500000</v>
      </c>
      <c r="L13" s="3"/>
      <c r="N13" s="114">
        <v>2</v>
      </c>
      <c r="O13" s="115" t="s">
        <v>21</v>
      </c>
      <c r="P13" s="116">
        <v>45902</v>
      </c>
      <c r="Q13" s="117">
        <v>330000</v>
      </c>
      <c r="S13" s="104">
        <v>2</v>
      </c>
      <c r="T13" s="27" t="s">
        <v>21</v>
      </c>
      <c r="U13" s="105">
        <v>45931</v>
      </c>
      <c r="V13" s="109">
        <v>850000</v>
      </c>
    </row>
    <row r="14" spans="2:22" s="58" customFormat="1">
      <c r="B14" s="104">
        <v>3</v>
      </c>
      <c r="C14" s="27" t="s">
        <v>22</v>
      </c>
      <c r="D14" s="105">
        <v>46028</v>
      </c>
      <c r="E14" s="106">
        <v>110000</v>
      </c>
      <c r="H14" s="104">
        <v>3</v>
      </c>
      <c r="I14" s="27" t="s">
        <v>22</v>
      </c>
      <c r="J14" s="105">
        <v>45719</v>
      </c>
      <c r="K14" s="106">
        <v>500000</v>
      </c>
      <c r="L14" s="3"/>
      <c r="N14" s="114">
        <v>3</v>
      </c>
      <c r="O14" s="115" t="s">
        <v>22</v>
      </c>
      <c r="P14" s="116">
        <v>45936</v>
      </c>
      <c r="Q14" s="117">
        <v>330000</v>
      </c>
      <c r="S14" s="104">
        <v>3</v>
      </c>
      <c r="T14" s="27" t="s">
        <v>22</v>
      </c>
      <c r="U14" s="105">
        <v>45992</v>
      </c>
      <c r="V14" s="109">
        <v>800000</v>
      </c>
    </row>
    <row r="15" spans="2:22" s="58" customFormat="1">
      <c r="B15" s="104">
        <v>4</v>
      </c>
      <c r="C15" s="27" t="s">
        <v>23</v>
      </c>
      <c r="D15" s="105">
        <v>46113</v>
      </c>
      <c r="E15" s="106">
        <v>110000</v>
      </c>
      <c r="H15" s="104">
        <v>4</v>
      </c>
      <c r="I15" s="27" t="s">
        <v>23</v>
      </c>
      <c r="J15" s="105">
        <v>45781</v>
      </c>
      <c r="K15" s="106">
        <v>500000</v>
      </c>
      <c r="L15" s="3"/>
      <c r="N15" s="114">
        <v>4</v>
      </c>
      <c r="O15" s="115" t="s">
        <v>23</v>
      </c>
      <c r="P15" s="116">
        <v>45965</v>
      </c>
      <c r="Q15" s="117">
        <v>330000</v>
      </c>
      <c r="S15" s="104">
        <v>4</v>
      </c>
      <c r="T15" s="27" t="s">
        <v>23</v>
      </c>
      <c r="U15" s="105">
        <v>46055</v>
      </c>
      <c r="V15" s="106">
        <v>850000</v>
      </c>
    </row>
    <row r="16" spans="2:22" s="58" customFormat="1">
      <c r="B16" s="104">
        <v>5</v>
      </c>
      <c r="C16" s="27" t="s">
        <v>24</v>
      </c>
      <c r="D16" s="118"/>
      <c r="E16" s="106"/>
      <c r="H16" s="104">
        <v>5</v>
      </c>
      <c r="I16" s="27" t="s">
        <v>24</v>
      </c>
      <c r="J16" s="105">
        <v>45809</v>
      </c>
      <c r="K16" s="106">
        <v>500000</v>
      </c>
      <c r="L16" s="3"/>
      <c r="N16" s="114">
        <v>5</v>
      </c>
      <c r="O16" s="115" t="s">
        <v>24</v>
      </c>
      <c r="P16" s="116">
        <v>45996</v>
      </c>
      <c r="Q16" s="117">
        <v>330000</v>
      </c>
      <c r="S16" s="104">
        <v>5</v>
      </c>
      <c r="T16" s="27" t="s">
        <v>24</v>
      </c>
      <c r="U16" s="105">
        <v>46086</v>
      </c>
      <c r="V16" s="106">
        <v>850000</v>
      </c>
    </row>
    <row r="17" spans="2:22" s="58" customFormat="1">
      <c r="B17" s="104">
        <v>6</v>
      </c>
      <c r="C17" s="27" t="s">
        <v>25</v>
      </c>
      <c r="D17" s="118"/>
      <c r="E17" s="106"/>
      <c r="H17" s="104">
        <v>6</v>
      </c>
      <c r="I17" s="27" t="s">
        <v>25</v>
      </c>
      <c r="J17" s="105">
        <v>45873</v>
      </c>
      <c r="K17" s="106">
        <v>500000</v>
      </c>
      <c r="L17" s="3"/>
      <c r="N17" s="114">
        <v>6</v>
      </c>
      <c r="O17" s="115" t="s">
        <v>25</v>
      </c>
      <c r="P17" s="116">
        <v>46027</v>
      </c>
      <c r="Q17" s="117">
        <v>330000</v>
      </c>
      <c r="S17" s="104">
        <v>6</v>
      </c>
      <c r="T17" s="27" t="s">
        <v>25</v>
      </c>
      <c r="U17" s="105">
        <v>46145</v>
      </c>
      <c r="V17" s="106">
        <v>850000</v>
      </c>
    </row>
    <row r="18" spans="2:22" s="58" customFormat="1">
      <c r="B18" s="104">
        <v>7</v>
      </c>
      <c r="C18" s="27" t="s">
        <v>26</v>
      </c>
      <c r="D18" s="26"/>
      <c r="E18" s="106"/>
      <c r="H18" s="104">
        <v>7</v>
      </c>
      <c r="I18" s="27" t="s">
        <v>26</v>
      </c>
      <c r="J18" s="105">
        <v>46057</v>
      </c>
      <c r="K18" s="106">
        <v>500000</v>
      </c>
      <c r="L18" s="3"/>
      <c r="N18" s="114">
        <v>7</v>
      </c>
      <c r="O18" s="115" t="s">
        <v>26</v>
      </c>
      <c r="P18" s="116">
        <v>46058</v>
      </c>
      <c r="Q18" s="117">
        <v>330000</v>
      </c>
      <c r="S18" s="104">
        <v>7</v>
      </c>
      <c r="T18" s="27" t="s">
        <v>26</v>
      </c>
      <c r="U18" s="26"/>
      <c r="V18" s="106"/>
    </row>
    <row r="19" spans="2:22" s="58" customFormat="1">
      <c r="B19" s="104">
        <v>8</v>
      </c>
      <c r="C19" s="27" t="s">
        <v>27</v>
      </c>
      <c r="D19" s="26"/>
      <c r="E19" s="106"/>
      <c r="H19" s="104">
        <v>8</v>
      </c>
      <c r="I19" s="27" t="s">
        <v>27</v>
      </c>
      <c r="J19" s="105">
        <v>46085</v>
      </c>
      <c r="K19" s="106">
        <v>500000</v>
      </c>
      <c r="L19" s="3"/>
      <c r="N19" s="114">
        <v>8</v>
      </c>
      <c r="O19" s="115" t="s">
        <v>27</v>
      </c>
      <c r="P19" s="116">
        <v>46086</v>
      </c>
      <c r="Q19" s="117">
        <v>330000</v>
      </c>
      <c r="S19" s="104">
        <v>8</v>
      </c>
      <c r="T19" s="27" t="s">
        <v>27</v>
      </c>
      <c r="U19" s="26"/>
      <c r="V19" s="106"/>
    </row>
    <row r="20" spans="2:22" s="58" customFormat="1">
      <c r="B20" s="104">
        <v>9</v>
      </c>
      <c r="C20" s="27" t="s">
        <v>28</v>
      </c>
      <c r="D20" s="26"/>
      <c r="E20" s="106"/>
      <c r="H20" s="104">
        <v>9</v>
      </c>
      <c r="I20" s="27" t="s">
        <v>28</v>
      </c>
      <c r="J20" s="105">
        <v>46147</v>
      </c>
      <c r="K20" s="106">
        <v>500000</v>
      </c>
      <c r="L20" s="3"/>
      <c r="N20" s="114">
        <v>9</v>
      </c>
      <c r="O20" s="115" t="s">
        <v>28</v>
      </c>
      <c r="P20" s="116">
        <v>46120</v>
      </c>
      <c r="Q20" s="117">
        <v>330000</v>
      </c>
      <c r="S20" s="104">
        <v>9</v>
      </c>
      <c r="T20" s="27" t="s">
        <v>28</v>
      </c>
      <c r="U20" s="26"/>
      <c r="V20" s="106"/>
    </row>
    <row r="21" spans="2:22" s="58" customFormat="1">
      <c r="B21" s="104">
        <v>10</v>
      </c>
      <c r="C21" s="27" t="s">
        <v>29</v>
      </c>
      <c r="D21" s="26"/>
      <c r="E21" s="106"/>
      <c r="H21" s="104">
        <v>10</v>
      </c>
      <c r="I21" s="27" t="s">
        <v>29</v>
      </c>
      <c r="J21" s="26"/>
      <c r="K21" s="106"/>
      <c r="L21" s="3"/>
      <c r="N21" s="114">
        <v>10</v>
      </c>
      <c r="O21" s="115" t="s">
        <v>29</v>
      </c>
      <c r="P21" s="119"/>
      <c r="Q21" s="117"/>
      <c r="S21" s="104">
        <v>10</v>
      </c>
      <c r="T21" s="27" t="s">
        <v>29</v>
      </c>
      <c r="U21" s="26"/>
      <c r="V21" s="106"/>
    </row>
    <row r="22" spans="2:22" s="58" customFormat="1">
      <c r="B22" s="104">
        <v>11</v>
      </c>
      <c r="C22" s="27" t="s">
        <v>30</v>
      </c>
      <c r="D22" s="26"/>
      <c r="E22" s="106"/>
      <c r="H22" s="104">
        <v>11</v>
      </c>
      <c r="I22" s="27" t="s">
        <v>30</v>
      </c>
      <c r="J22" s="26"/>
      <c r="K22" s="106"/>
      <c r="L22" s="3"/>
      <c r="N22" s="114"/>
      <c r="O22" s="115"/>
      <c r="P22" s="119"/>
      <c r="Q22" s="117">
        <f ca="1">SUM(Q12:Q22)</f>
        <v>2970000</v>
      </c>
      <c r="S22" s="104"/>
      <c r="T22" s="27"/>
      <c r="U22" s="26"/>
      <c r="V22" s="106"/>
    </row>
    <row r="23" spans="2:22" s="58" customFormat="1">
      <c r="B23" s="104">
        <v>12</v>
      </c>
      <c r="C23" s="27" t="s">
        <v>31</v>
      </c>
      <c r="D23" s="26"/>
      <c r="E23" s="106"/>
      <c r="H23" s="104">
        <v>12</v>
      </c>
      <c r="I23" s="27" t="s">
        <v>31</v>
      </c>
      <c r="J23" s="26"/>
      <c r="K23" s="106"/>
      <c r="L23" s="3"/>
      <c r="N23" s="120"/>
      <c r="O23" s="121"/>
      <c r="P23" s="122"/>
      <c r="Q23" s="123"/>
      <c r="S23" s="124"/>
      <c r="T23" s="125"/>
      <c r="U23" s="125"/>
      <c r="V23" s="126">
        <f>SUM(V12:V22)</f>
        <v>5050000</v>
      </c>
    </row>
    <row r="24" spans="2:22" s="58" customFormat="1">
      <c r="B24" s="104">
        <v>13</v>
      </c>
      <c r="C24" s="27" t="s">
        <v>32</v>
      </c>
      <c r="D24" s="26"/>
      <c r="E24" s="106"/>
      <c r="H24" s="104">
        <v>13</v>
      </c>
      <c r="I24" s="27" t="s">
        <v>32</v>
      </c>
      <c r="J24" s="26"/>
      <c r="K24" s="106"/>
      <c r="L24" s="3"/>
      <c r="N24" s="127"/>
      <c r="O24" s="128"/>
      <c r="P24" s="129"/>
      <c r="Q24" s="130">
        <v>1020000</v>
      </c>
      <c r="S24" s="19"/>
      <c r="T24" s="19"/>
      <c r="U24" s="19"/>
      <c r="V24" s="131">
        <f>U7-V23</f>
        <v>2950000</v>
      </c>
    </row>
    <row r="25" spans="2:22" s="58" customFormat="1">
      <c r="B25" s="104">
        <v>14</v>
      </c>
      <c r="C25" s="27" t="s">
        <v>33</v>
      </c>
      <c r="D25" s="26"/>
      <c r="E25" s="106"/>
      <c r="H25" s="104">
        <v>14</v>
      </c>
      <c r="I25" s="27" t="s">
        <v>33</v>
      </c>
      <c r="J25" s="26"/>
      <c r="K25" s="106"/>
      <c r="L25" s="3"/>
      <c r="N25" s="277" t="s">
        <v>34</v>
      </c>
      <c r="O25" s="278"/>
      <c r="P25" s="278"/>
      <c r="Q25" s="279"/>
      <c r="S25" s="19"/>
      <c r="T25" s="19"/>
      <c r="U25" s="19"/>
      <c r="V25" s="20"/>
    </row>
    <row r="26" spans="2:22" s="58" customFormat="1">
      <c r="B26" s="104">
        <v>15</v>
      </c>
      <c r="C26" s="27" t="s">
        <v>35</v>
      </c>
      <c r="D26" s="26"/>
      <c r="E26" s="106"/>
      <c r="H26" s="104">
        <v>15</v>
      </c>
      <c r="I26" s="27" t="s">
        <v>35</v>
      </c>
      <c r="J26" s="26"/>
      <c r="K26" s="106"/>
      <c r="L26" s="3"/>
      <c r="N26" s="5"/>
      <c r="O26" s="2"/>
      <c r="P26" s="5"/>
      <c r="Q26" s="3"/>
      <c r="S26" s="19"/>
      <c r="T26" s="19"/>
      <c r="U26" s="19"/>
      <c r="V26" s="20"/>
    </row>
    <row r="27" spans="2:22" s="58" customFormat="1">
      <c r="B27" s="124"/>
      <c r="C27" s="125"/>
      <c r="D27" s="125"/>
      <c r="E27" s="126">
        <f>SUM(E12:E26)</f>
        <v>440000</v>
      </c>
      <c r="H27" s="124"/>
      <c r="I27" s="125"/>
      <c r="J27" s="125"/>
      <c r="K27" s="126">
        <f>SUM(K12:K26)</f>
        <v>4500000</v>
      </c>
      <c r="L27" s="3"/>
      <c r="N27" s="2"/>
      <c r="O27" s="2"/>
      <c r="P27" s="2"/>
      <c r="Q27" s="3"/>
      <c r="S27" s="19"/>
      <c r="T27" s="19"/>
      <c r="U27" s="19"/>
      <c r="V27" s="20"/>
    </row>
    <row r="28" spans="2:22" s="58" customFormat="1">
      <c r="B28" s="2"/>
      <c r="C28" s="214" t="s">
        <v>191</v>
      </c>
      <c r="D28" s="2"/>
      <c r="E28" s="132">
        <f>1650000-E27</f>
        <v>1210000</v>
      </c>
      <c r="H28" s="2"/>
      <c r="I28" s="2"/>
      <c r="J28" s="2"/>
      <c r="K28" s="132">
        <v>2500000</v>
      </c>
      <c r="L28" s="3"/>
      <c r="N28" s="2"/>
      <c r="O28" s="2"/>
      <c r="P28" s="2"/>
      <c r="Q28" s="3"/>
      <c r="S28" s="19"/>
      <c r="T28" s="19"/>
      <c r="U28" s="19"/>
      <c r="V28" s="20"/>
    </row>
    <row r="29" spans="2:22" s="58" customFormat="1">
      <c r="B29" s="2"/>
      <c r="C29" s="2"/>
      <c r="D29" s="2"/>
      <c r="E29" s="3"/>
      <c r="H29" s="2"/>
      <c r="I29" s="2"/>
      <c r="J29" s="2"/>
      <c r="K29" s="3"/>
      <c r="L29" s="3"/>
      <c r="N29" s="2"/>
      <c r="O29" s="2"/>
      <c r="P29" s="2"/>
      <c r="Q29" s="3"/>
      <c r="S29" s="19"/>
      <c r="T29" s="19"/>
      <c r="U29" s="19"/>
      <c r="V29" s="20"/>
    </row>
    <row r="30" spans="2:22" s="58" customFormat="1">
      <c r="B30" s="19"/>
      <c r="C30" s="19"/>
      <c r="D30" s="19"/>
      <c r="E30" s="20"/>
      <c r="H30" s="19"/>
      <c r="I30" s="19"/>
      <c r="J30" s="19"/>
      <c r="K30" s="20"/>
      <c r="L30" s="20"/>
      <c r="N30" s="2"/>
      <c r="O30" s="2"/>
      <c r="P30" s="2"/>
      <c r="Q30" s="3"/>
      <c r="S30" s="19"/>
      <c r="T30" s="19"/>
      <c r="U30" s="19"/>
      <c r="V30" s="20"/>
    </row>
    <row r="31" spans="2:22" s="58" customFormat="1" ht="17.25" thickBot="1">
      <c r="B31" s="19"/>
      <c r="C31" s="19"/>
      <c r="D31" s="19"/>
      <c r="E31" s="20"/>
      <c r="H31" s="19"/>
      <c r="I31" s="19"/>
      <c r="J31" s="19"/>
      <c r="K31" s="20"/>
      <c r="L31" s="20"/>
      <c r="N31" s="19"/>
      <c r="O31" s="19"/>
      <c r="P31" s="19"/>
      <c r="Q31" s="20"/>
      <c r="S31" s="19"/>
      <c r="T31" s="19"/>
      <c r="U31" s="19"/>
      <c r="V31" s="20"/>
    </row>
    <row r="32" spans="2:22">
      <c r="B32" s="238" t="s">
        <v>0</v>
      </c>
      <c r="C32" s="239"/>
      <c r="D32" s="239"/>
      <c r="E32" s="240"/>
      <c r="H32" s="238" t="s">
        <v>0</v>
      </c>
      <c r="I32" s="239"/>
      <c r="J32" s="239"/>
      <c r="K32" s="240"/>
      <c r="L32" s="4"/>
      <c r="N32" s="238" t="s">
        <v>0</v>
      </c>
      <c r="O32" s="239"/>
      <c r="P32" s="239"/>
      <c r="Q32" s="240"/>
    </row>
    <row r="33" spans="2:17">
      <c r="B33" s="259" t="s">
        <v>36</v>
      </c>
      <c r="C33" s="242"/>
      <c r="D33" s="242"/>
      <c r="E33" s="243"/>
      <c r="H33" s="259" t="s">
        <v>37</v>
      </c>
      <c r="I33" s="242"/>
      <c r="J33" s="242"/>
      <c r="K33" s="243"/>
      <c r="L33" s="60"/>
      <c r="N33" s="259" t="s">
        <v>38</v>
      </c>
      <c r="O33" s="242"/>
      <c r="P33" s="242"/>
      <c r="Q33" s="243"/>
    </row>
    <row r="34" spans="2:17">
      <c r="B34" s="244"/>
      <c r="C34" s="245"/>
      <c r="D34" s="245"/>
      <c r="E34" s="246"/>
      <c r="H34" s="244"/>
      <c r="I34" s="245"/>
      <c r="J34" s="245"/>
      <c r="K34" s="246"/>
      <c r="L34" s="60"/>
      <c r="N34" s="244"/>
      <c r="O34" s="245"/>
      <c r="P34" s="245"/>
      <c r="Q34" s="246"/>
    </row>
    <row r="35" spans="2:17">
      <c r="B35" s="61"/>
      <c r="C35" s="62" t="s">
        <v>4</v>
      </c>
      <c r="D35" s="65"/>
      <c r="E35" s="64"/>
      <c r="H35" s="61"/>
      <c r="I35" s="62" t="s">
        <v>4</v>
      </c>
      <c r="J35" s="145" t="s">
        <v>39</v>
      </c>
      <c r="K35" s="64"/>
      <c r="L35" s="66"/>
      <c r="N35" s="61"/>
      <c r="O35" s="62" t="s">
        <v>4</v>
      </c>
      <c r="P35" s="65"/>
      <c r="Q35" s="64"/>
    </row>
    <row r="36" spans="2:17">
      <c r="B36" s="61"/>
      <c r="C36" s="62" t="s">
        <v>9</v>
      </c>
      <c r="D36" s="70">
        <v>5350000</v>
      </c>
      <c r="E36" s="71"/>
      <c r="H36" s="61"/>
      <c r="I36" s="62" t="s">
        <v>9</v>
      </c>
      <c r="J36" s="70">
        <v>2000000</v>
      </c>
      <c r="K36" s="71"/>
      <c r="L36" s="3"/>
      <c r="N36" s="61"/>
      <c r="O36" s="62" t="s">
        <v>9</v>
      </c>
      <c r="P36" s="70">
        <v>2000000</v>
      </c>
      <c r="Q36" s="71"/>
    </row>
    <row r="37" spans="2:17">
      <c r="B37" s="280" t="s">
        <v>40</v>
      </c>
      <c r="C37" s="281"/>
      <c r="D37" s="281"/>
      <c r="E37" s="282"/>
      <c r="H37" s="61"/>
      <c r="I37" s="62" t="s">
        <v>10</v>
      </c>
      <c r="J37" s="76">
        <v>200000</v>
      </c>
      <c r="K37" s="64"/>
      <c r="L37" s="66"/>
      <c r="N37" s="61"/>
      <c r="O37" s="62" t="s">
        <v>10</v>
      </c>
      <c r="P37" s="76">
        <v>200000</v>
      </c>
      <c r="Q37" s="64"/>
    </row>
    <row r="38" spans="2:17">
      <c r="B38" s="77"/>
      <c r="C38" s="78" t="s">
        <v>12</v>
      </c>
      <c r="D38" s="79">
        <v>892000</v>
      </c>
      <c r="E38" s="80" t="s">
        <v>41</v>
      </c>
      <c r="H38" s="77"/>
      <c r="I38" s="78" t="s">
        <v>12</v>
      </c>
      <c r="J38" s="79"/>
      <c r="K38" s="177" t="s">
        <v>180</v>
      </c>
      <c r="L38" s="81"/>
      <c r="N38" s="77"/>
      <c r="O38" s="78" t="s">
        <v>12</v>
      </c>
      <c r="P38" s="79">
        <v>220000</v>
      </c>
      <c r="Q38" s="80" t="s">
        <v>14</v>
      </c>
    </row>
    <row r="39" spans="2:17" ht="17.25" thickBot="1">
      <c r="B39" s="86"/>
      <c r="C39" s="87"/>
      <c r="D39" s="88"/>
      <c r="E39" s="89"/>
      <c r="H39" s="86"/>
      <c r="I39" s="87"/>
      <c r="J39" s="88"/>
      <c r="K39" s="89"/>
      <c r="L39" s="81"/>
      <c r="N39" s="86"/>
      <c r="O39" s="87"/>
      <c r="P39" s="88"/>
      <c r="Q39" s="89"/>
    </row>
    <row r="40" spans="2:17" ht="17.25" thickBot="1">
      <c r="B40" s="95" t="s">
        <v>15</v>
      </c>
      <c r="C40" s="96" t="s">
        <v>17</v>
      </c>
      <c r="D40" s="97" t="s">
        <v>18</v>
      </c>
      <c r="E40" s="98" t="s">
        <v>19</v>
      </c>
      <c r="H40" s="95" t="s">
        <v>15</v>
      </c>
      <c r="I40" s="96" t="s">
        <v>17</v>
      </c>
      <c r="J40" s="97" t="s">
        <v>18</v>
      </c>
      <c r="K40" s="98" t="s">
        <v>19</v>
      </c>
      <c r="L40" s="99"/>
      <c r="N40" s="95" t="s">
        <v>15</v>
      </c>
      <c r="O40" s="96" t="s">
        <v>17</v>
      </c>
      <c r="P40" s="97" t="s">
        <v>18</v>
      </c>
      <c r="Q40" s="98" t="s">
        <v>19</v>
      </c>
    </row>
    <row r="41" spans="2:17">
      <c r="B41" s="133">
        <v>1</v>
      </c>
      <c r="C41" s="134" t="s">
        <v>20</v>
      </c>
      <c r="D41" s="135">
        <v>45964</v>
      </c>
      <c r="E41" s="136">
        <v>890000</v>
      </c>
      <c r="H41" s="107">
        <v>1</v>
      </c>
      <c r="I41" s="94" t="s">
        <v>20</v>
      </c>
      <c r="J41" s="108">
        <v>45936</v>
      </c>
      <c r="K41" s="109">
        <v>200000</v>
      </c>
      <c r="L41" s="3"/>
      <c r="N41" s="107">
        <v>1</v>
      </c>
      <c r="O41" s="94" t="s">
        <v>20</v>
      </c>
      <c r="P41" s="108">
        <v>45931</v>
      </c>
      <c r="Q41" s="109">
        <v>220000</v>
      </c>
    </row>
    <row r="42" spans="2:17">
      <c r="B42" s="104">
        <v>2</v>
      </c>
      <c r="C42" s="27" t="s">
        <v>21</v>
      </c>
      <c r="D42" s="105">
        <v>45994</v>
      </c>
      <c r="E42" s="109">
        <v>840000</v>
      </c>
      <c r="H42" s="104">
        <v>2</v>
      </c>
      <c r="I42" s="27" t="s">
        <v>21</v>
      </c>
      <c r="J42" s="105">
        <v>45966</v>
      </c>
      <c r="K42" s="109">
        <v>200000</v>
      </c>
      <c r="L42" s="3"/>
      <c r="N42" s="104">
        <v>2</v>
      </c>
      <c r="O42" s="27" t="s">
        <v>21</v>
      </c>
      <c r="P42" s="105">
        <v>45964</v>
      </c>
      <c r="Q42" s="109">
        <v>220000</v>
      </c>
    </row>
    <row r="43" spans="2:17">
      <c r="B43" s="104">
        <v>3</v>
      </c>
      <c r="C43" s="27" t="s">
        <v>22</v>
      </c>
      <c r="D43" s="105">
        <v>46057</v>
      </c>
      <c r="E43" s="109">
        <v>940000</v>
      </c>
      <c r="H43" s="104">
        <v>3</v>
      </c>
      <c r="I43" s="27" t="s">
        <v>22</v>
      </c>
      <c r="J43" s="105">
        <v>45998</v>
      </c>
      <c r="K43" s="109">
        <v>200000</v>
      </c>
      <c r="L43" s="3"/>
      <c r="N43" s="104">
        <v>3</v>
      </c>
      <c r="O43" s="27" t="s">
        <v>22</v>
      </c>
      <c r="P43" s="105">
        <v>45991</v>
      </c>
      <c r="Q43" s="109">
        <v>220000</v>
      </c>
    </row>
    <row r="44" spans="2:17">
      <c r="B44" s="104">
        <v>4</v>
      </c>
      <c r="C44" s="27" t="s">
        <v>23</v>
      </c>
      <c r="D44" s="105">
        <v>46147</v>
      </c>
      <c r="E44" s="109">
        <v>790000</v>
      </c>
      <c r="H44" s="104">
        <v>4</v>
      </c>
      <c r="I44" s="27" t="s">
        <v>23</v>
      </c>
      <c r="J44" s="105">
        <v>46024</v>
      </c>
      <c r="K44" s="109">
        <v>200000</v>
      </c>
      <c r="L44" s="3"/>
      <c r="N44" s="104">
        <v>4</v>
      </c>
      <c r="O44" s="27" t="s">
        <v>23</v>
      </c>
      <c r="P44" s="105">
        <v>46054</v>
      </c>
      <c r="Q44" s="106">
        <v>220000</v>
      </c>
    </row>
    <row r="45" spans="2:17">
      <c r="B45" s="104">
        <v>5</v>
      </c>
      <c r="C45" s="27" t="s">
        <v>24</v>
      </c>
      <c r="D45" s="105"/>
      <c r="E45" s="109"/>
      <c r="H45" s="104">
        <v>5</v>
      </c>
      <c r="I45" s="27" t="s">
        <v>24</v>
      </c>
      <c r="J45" s="105">
        <v>46086</v>
      </c>
      <c r="K45" s="106">
        <v>200000</v>
      </c>
      <c r="L45" s="3"/>
      <c r="N45" s="104">
        <v>5</v>
      </c>
      <c r="O45" s="27" t="s">
        <v>24</v>
      </c>
      <c r="P45" s="105">
        <v>46082</v>
      </c>
      <c r="Q45" s="106">
        <v>220000</v>
      </c>
    </row>
    <row r="46" spans="2:17">
      <c r="B46" s="104">
        <v>6</v>
      </c>
      <c r="C46" s="27" t="s">
        <v>25</v>
      </c>
      <c r="D46" s="105"/>
      <c r="E46" s="109"/>
      <c r="H46" s="104">
        <v>6</v>
      </c>
      <c r="I46" s="27" t="s">
        <v>25</v>
      </c>
      <c r="J46" s="105">
        <v>46120</v>
      </c>
      <c r="K46" s="106">
        <v>200000</v>
      </c>
      <c r="L46" s="3"/>
      <c r="N46" s="104">
        <v>6</v>
      </c>
      <c r="O46" s="27" t="s">
        <v>25</v>
      </c>
      <c r="P46" s="105">
        <v>46113</v>
      </c>
      <c r="Q46" s="106">
        <v>220000</v>
      </c>
    </row>
    <row r="47" spans="2:17">
      <c r="B47" s="104"/>
      <c r="C47" s="27"/>
      <c r="D47" s="26"/>
      <c r="E47" s="109"/>
      <c r="H47" s="104">
        <v>7</v>
      </c>
      <c r="I47" s="27" t="s">
        <v>26</v>
      </c>
      <c r="J47" s="105">
        <v>46145</v>
      </c>
      <c r="K47" s="106">
        <v>200000</v>
      </c>
      <c r="L47" s="3"/>
      <c r="N47" s="104">
        <v>7</v>
      </c>
      <c r="O47" s="27" t="s">
        <v>26</v>
      </c>
      <c r="P47" s="105">
        <v>46142</v>
      </c>
      <c r="Q47" s="106">
        <v>220000</v>
      </c>
    </row>
    <row r="48" spans="2:17">
      <c r="B48" s="104"/>
      <c r="C48" s="27"/>
      <c r="D48" s="26"/>
      <c r="E48" s="106"/>
      <c r="H48" s="104">
        <v>8</v>
      </c>
      <c r="I48" s="27" t="s">
        <v>27</v>
      </c>
      <c r="J48" s="26"/>
      <c r="K48" s="106">
        <v>0</v>
      </c>
      <c r="L48" s="3"/>
      <c r="N48" s="104">
        <v>8</v>
      </c>
      <c r="O48" s="27" t="s">
        <v>27</v>
      </c>
      <c r="P48" s="26"/>
      <c r="Q48" s="106">
        <v>0</v>
      </c>
    </row>
    <row r="49" spans="2:22" ht="17.25" thickBot="1">
      <c r="B49" s="137"/>
      <c r="C49" s="267" t="s">
        <v>42</v>
      </c>
      <c r="D49" s="268"/>
      <c r="E49" s="126">
        <f>SUM(E41:E48)</f>
        <v>3460000</v>
      </c>
      <c r="H49" s="104">
        <v>9</v>
      </c>
      <c r="I49" s="27" t="s">
        <v>28</v>
      </c>
      <c r="J49" s="26"/>
      <c r="K49" s="106">
        <v>0</v>
      </c>
      <c r="L49" s="3"/>
      <c r="N49" s="104">
        <v>9</v>
      </c>
      <c r="O49" s="27" t="s">
        <v>28</v>
      </c>
      <c r="P49" s="26"/>
      <c r="Q49" s="106">
        <v>0</v>
      </c>
    </row>
    <row r="50" spans="2:22" ht="17.25" thickBot="1">
      <c r="B50" s="175"/>
      <c r="C50" s="272"/>
      <c r="D50" s="273"/>
      <c r="E50" s="176"/>
      <c r="H50" s="104">
        <v>10</v>
      </c>
      <c r="I50" s="27" t="s">
        <v>29</v>
      </c>
      <c r="J50" s="26"/>
      <c r="K50" s="106">
        <v>0</v>
      </c>
      <c r="L50" s="3"/>
      <c r="N50" s="104">
        <v>10</v>
      </c>
      <c r="O50" s="27" t="s">
        <v>29</v>
      </c>
      <c r="P50" s="26"/>
      <c r="Q50" s="106">
        <v>0</v>
      </c>
    </row>
    <row r="51" spans="2:22">
      <c r="B51" s="5"/>
      <c r="C51" s="2"/>
      <c r="D51" s="5"/>
      <c r="E51" s="3"/>
      <c r="H51" s="104">
        <v>11</v>
      </c>
      <c r="I51" s="27" t="s">
        <v>30</v>
      </c>
      <c r="J51" s="26"/>
      <c r="K51" s="106"/>
      <c r="L51" s="3"/>
      <c r="N51" s="104"/>
      <c r="O51" s="27"/>
      <c r="P51" s="26"/>
      <c r="Q51" s="106"/>
    </row>
    <row r="52" spans="2:22">
      <c r="B52" s="2"/>
      <c r="C52" s="2"/>
      <c r="D52" s="2"/>
      <c r="E52" s="3"/>
      <c r="H52" s="124"/>
      <c r="I52" s="125"/>
      <c r="J52" s="125"/>
      <c r="K52" s="126">
        <f>SUM(K41:K51)</f>
        <v>1400000</v>
      </c>
      <c r="L52" s="3"/>
      <c r="N52" s="124"/>
      <c r="O52" s="125"/>
      <c r="P52" s="125"/>
      <c r="Q52" s="126">
        <f>SUM(Q41:Q51)</f>
        <v>1540000</v>
      </c>
    </row>
    <row r="53" spans="2:22">
      <c r="B53" s="2"/>
      <c r="C53" s="2"/>
      <c r="D53" s="2"/>
      <c r="E53" s="3"/>
      <c r="H53" s="2"/>
      <c r="I53" s="2"/>
      <c r="J53" s="2"/>
      <c r="K53" s="132">
        <f>J36-K52</f>
        <v>600000</v>
      </c>
      <c r="L53" s="3"/>
      <c r="N53" s="2"/>
      <c r="O53" s="2"/>
      <c r="P53" s="2"/>
      <c r="Q53" s="132">
        <f>P36-Q52</f>
        <v>460000</v>
      </c>
    </row>
    <row r="54" spans="2:22">
      <c r="B54" s="2"/>
      <c r="C54" s="2"/>
      <c r="D54" s="2"/>
      <c r="E54" s="3"/>
      <c r="H54" s="2"/>
      <c r="I54" s="2"/>
      <c r="J54" s="2"/>
      <c r="K54" s="3"/>
      <c r="L54" s="3"/>
      <c r="N54" s="2"/>
      <c r="O54" s="2"/>
      <c r="P54" s="2"/>
      <c r="Q54" s="3"/>
    </row>
    <row r="55" spans="2:22" s="58" customFormat="1">
      <c r="B55" s="19"/>
      <c r="C55" s="19"/>
      <c r="D55" s="19"/>
      <c r="E55" s="20"/>
      <c r="H55" s="19"/>
      <c r="I55" s="19"/>
      <c r="J55" s="19"/>
      <c r="K55" s="20"/>
      <c r="L55" s="20"/>
      <c r="N55" s="19"/>
      <c r="O55" s="19"/>
      <c r="P55" s="19"/>
      <c r="Q55" s="20"/>
      <c r="S55" s="19"/>
      <c r="T55" s="19"/>
      <c r="U55" s="19"/>
      <c r="V55" s="20"/>
    </row>
    <row r="56" spans="2:22">
      <c r="B56" s="238" t="s">
        <v>0</v>
      </c>
      <c r="C56" s="239"/>
      <c r="D56" s="239"/>
      <c r="E56" s="240"/>
      <c r="H56" s="274" t="s">
        <v>0</v>
      </c>
      <c r="I56" s="275"/>
      <c r="J56" s="275"/>
      <c r="K56" s="276"/>
      <c r="L56" s="4"/>
      <c r="N56" s="238" t="s">
        <v>0</v>
      </c>
      <c r="O56" s="239"/>
      <c r="P56" s="239"/>
      <c r="Q56" s="240"/>
    </row>
    <row r="57" spans="2:22">
      <c r="B57" s="259" t="s">
        <v>43</v>
      </c>
      <c r="C57" s="242"/>
      <c r="D57" s="242"/>
      <c r="E57" s="243"/>
      <c r="H57" s="232" t="s">
        <v>44</v>
      </c>
      <c r="I57" s="233"/>
      <c r="J57" s="233"/>
      <c r="K57" s="234"/>
      <c r="L57" s="60"/>
      <c r="N57" s="259" t="s">
        <v>45</v>
      </c>
      <c r="O57" s="242"/>
      <c r="P57" s="242"/>
      <c r="Q57" s="243"/>
    </row>
    <row r="58" spans="2:22">
      <c r="B58" s="244"/>
      <c r="C58" s="245"/>
      <c r="D58" s="245"/>
      <c r="E58" s="246"/>
      <c r="H58" s="235"/>
      <c r="I58" s="236"/>
      <c r="J58" s="236"/>
      <c r="K58" s="237"/>
      <c r="L58" s="60"/>
      <c r="N58" s="244"/>
      <c r="O58" s="245"/>
      <c r="P58" s="245"/>
      <c r="Q58" s="246"/>
    </row>
    <row r="59" spans="2:22">
      <c r="B59" s="61"/>
      <c r="C59" s="62" t="s">
        <v>4</v>
      </c>
      <c r="E59" s="64"/>
      <c r="H59" s="152"/>
      <c r="I59" s="153" t="s">
        <v>4</v>
      </c>
      <c r="J59" s="154" t="s">
        <v>46</v>
      </c>
      <c r="K59" s="155"/>
      <c r="L59" s="66"/>
      <c r="N59" s="61"/>
      <c r="O59" s="62" t="s">
        <v>4</v>
      </c>
      <c r="P59" s="147" t="s">
        <v>47</v>
      </c>
      <c r="Q59" s="138"/>
    </row>
    <row r="60" spans="2:22">
      <c r="B60" s="61"/>
      <c r="C60" s="62" t="s">
        <v>9</v>
      </c>
      <c r="D60" s="63">
        <v>4000000</v>
      </c>
      <c r="E60" s="71"/>
      <c r="H60" s="152"/>
      <c r="I60" s="153" t="s">
        <v>9</v>
      </c>
      <c r="J60" s="156">
        <v>1000000</v>
      </c>
      <c r="K60" s="157"/>
      <c r="L60" s="3"/>
      <c r="N60" s="61"/>
      <c r="O60" s="62" t="s">
        <v>9</v>
      </c>
      <c r="P60" s="139">
        <v>3000000</v>
      </c>
      <c r="Q60" s="140"/>
    </row>
    <row r="61" spans="2:22">
      <c r="B61" s="61"/>
      <c r="C61" s="62" t="s">
        <v>10</v>
      </c>
      <c r="D61" s="11">
        <v>400000</v>
      </c>
      <c r="E61" s="64"/>
      <c r="H61" s="152"/>
      <c r="I61" s="153" t="s">
        <v>10</v>
      </c>
      <c r="J61" s="158">
        <v>100000</v>
      </c>
      <c r="K61" s="155"/>
      <c r="L61" s="66"/>
      <c r="N61" s="61"/>
      <c r="O61" s="62" t="s">
        <v>10</v>
      </c>
      <c r="P61" s="141">
        <v>300000</v>
      </c>
      <c r="Q61" s="138"/>
    </row>
    <row r="62" spans="2:22">
      <c r="B62" s="77"/>
      <c r="C62" s="78" t="s">
        <v>12</v>
      </c>
      <c r="D62" s="79">
        <v>440000</v>
      </c>
      <c r="E62" s="80" t="s">
        <v>14</v>
      </c>
      <c r="H62" s="159"/>
      <c r="I62" s="160" t="s">
        <v>12</v>
      </c>
      <c r="J62" s="161">
        <v>220000</v>
      </c>
      <c r="K62" s="162" t="s">
        <v>48</v>
      </c>
      <c r="L62" s="81"/>
      <c r="N62" s="77"/>
      <c r="O62" s="78" t="s">
        <v>12</v>
      </c>
      <c r="P62" s="142">
        <v>330000</v>
      </c>
      <c r="Q62" s="143" t="s">
        <v>14</v>
      </c>
    </row>
    <row r="63" spans="2:22">
      <c r="B63" s="86"/>
      <c r="C63" s="87"/>
      <c r="D63" s="88"/>
      <c r="E63" s="89"/>
      <c r="H63" s="159"/>
      <c r="I63" s="163"/>
      <c r="J63" s="161"/>
      <c r="K63" s="162"/>
      <c r="L63" s="81"/>
      <c r="N63" s="86"/>
      <c r="O63" s="87"/>
      <c r="P63" s="88"/>
      <c r="Q63" s="89"/>
    </row>
    <row r="64" spans="2:22">
      <c r="B64" s="95" t="s">
        <v>15</v>
      </c>
      <c r="C64" s="96" t="s">
        <v>17</v>
      </c>
      <c r="D64" s="97" t="s">
        <v>18</v>
      </c>
      <c r="E64" s="98" t="s">
        <v>19</v>
      </c>
      <c r="H64" s="164" t="s">
        <v>15</v>
      </c>
      <c r="I64" s="165" t="s">
        <v>17</v>
      </c>
      <c r="J64" s="166" t="s">
        <v>18</v>
      </c>
      <c r="K64" s="167" t="s">
        <v>19</v>
      </c>
      <c r="L64" s="99"/>
      <c r="N64" s="95" t="s">
        <v>15</v>
      </c>
      <c r="O64" s="96" t="s">
        <v>17</v>
      </c>
      <c r="P64" s="97" t="s">
        <v>18</v>
      </c>
      <c r="Q64" s="98" t="s">
        <v>19</v>
      </c>
    </row>
    <row r="65" spans="2:22">
      <c r="B65" s="107">
        <v>1</v>
      </c>
      <c r="C65" s="94" t="s">
        <v>20</v>
      </c>
      <c r="D65" s="108">
        <v>45989</v>
      </c>
      <c r="E65" s="109">
        <v>440000</v>
      </c>
      <c r="H65" s="168">
        <v>1</v>
      </c>
      <c r="I65" s="169" t="s">
        <v>20</v>
      </c>
      <c r="J65" s="170">
        <v>45993</v>
      </c>
      <c r="K65" s="171">
        <v>220000</v>
      </c>
      <c r="L65" s="3"/>
      <c r="N65" s="107">
        <v>1</v>
      </c>
      <c r="O65" s="94" t="s">
        <v>20</v>
      </c>
      <c r="P65" s="108">
        <v>46112</v>
      </c>
      <c r="Q65" s="109">
        <v>300000</v>
      </c>
    </row>
    <row r="66" spans="2:22">
      <c r="B66" s="104">
        <v>2</v>
      </c>
      <c r="C66" s="27" t="s">
        <v>21</v>
      </c>
      <c r="D66" s="105">
        <v>46021</v>
      </c>
      <c r="E66" s="109">
        <v>440000</v>
      </c>
      <c r="H66" s="168">
        <v>2</v>
      </c>
      <c r="I66" s="169" t="s">
        <v>21</v>
      </c>
      <c r="J66" s="170">
        <v>45662</v>
      </c>
      <c r="K66" s="171">
        <v>220000</v>
      </c>
      <c r="L66" s="3"/>
      <c r="N66" s="104">
        <v>2</v>
      </c>
      <c r="O66" s="27" t="s">
        <v>21</v>
      </c>
      <c r="P66" s="105">
        <v>46142</v>
      </c>
      <c r="Q66" s="109">
        <v>300000</v>
      </c>
    </row>
    <row r="67" spans="2:22">
      <c r="B67" s="104">
        <v>3</v>
      </c>
      <c r="C67" s="27" t="s">
        <v>22</v>
      </c>
      <c r="D67" s="105">
        <v>46052</v>
      </c>
      <c r="E67" s="109">
        <v>440000</v>
      </c>
      <c r="H67" s="168">
        <v>3</v>
      </c>
      <c r="I67" s="169" t="s">
        <v>22</v>
      </c>
      <c r="J67" s="170">
        <v>46056</v>
      </c>
      <c r="K67" s="171">
        <v>220000</v>
      </c>
      <c r="L67" s="3"/>
      <c r="N67" s="104">
        <v>3</v>
      </c>
      <c r="O67" s="27" t="s">
        <v>22</v>
      </c>
      <c r="P67" s="105"/>
      <c r="Q67" s="109"/>
    </row>
    <row r="68" spans="2:22">
      <c r="B68" s="104">
        <v>4</v>
      </c>
      <c r="C68" s="27" t="s">
        <v>23</v>
      </c>
      <c r="D68" s="105">
        <v>46082</v>
      </c>
      <c r="E68" s="106">
        <v>440000</v>
      </c>
      <c r="H68" s="168">
        <v>4</v>
      </c>
      <c r="I68" s="169" t="s">
        <v>23</v>
      </c>
      <c r="J68" s="170"/>
      <c r="K68" s="171">
        <v>220000</v>
      </c>
      <c r="L68" s="3"/>
      <c r="N68" s="104">
        <v>4</v>
      </c>
      <c r="O68" s="27" t="s">
        <v>23</v>
      </c>
      <c r="P68" s="105"/>
      <c r="Q68" s="106"/>
    </row>
    <row r="69" spans="2:22">
      <c r="B69" s="104">
        <v>5</v>
      </c>
      <c r="C69" s="27" t="s">
        <v>24</v>
      </c>
      <c r="D69" s="105">
        <v>46113</v>
      </c>
      <c r="E69" s="106">
        <v>440000</v>
      </c>
      <c r="H69" s="168">
        <v>5</v>
      </c>
      <c r="I69" s="169" t="s">
        <v>24</v>
      </c>
      <c r="J69" s="170"/>
      <c r="K69" s="171">
        <v>220000</v>
      </c>
      <c r="L69" s="3"/>
      <c r="N69" s="104">
        <v>5</v>
      </c>
      <c r="O69" s="27" t="s">
        <v>24</v>
      </c>
      <c r="P69" s="105"/>
      <c r="Q69" s="106"/>
    </row>
    <row r="70" spans="2:22">
      <c r="B70" s="104">
        <v>6</v>
      </c>
      <c r="C70" s="27" t="s">
        <v>25</v>
      </c>
      <c r="D70" s="105">
        <v>46143</v>
      </c>
      <c r="E70" s="106">
        <v>440000</v>
      </c>
      <c r="H70" s="168"/>
      <c r="I70" s="169"/>
      <c r="J70" s="170"/>
      <c r="K70" s="171"/>
      <c r="L70" s="3"/>
      <c r="N70" s="104">
        <v>6</v>
      </c>
      <c r="O70" s="27" t="s">
        <v>25</v>
      </c>
      <c r="P70" s="105"/>
      <c r="Q70" s="106"/>
    </row>
    <row r="71" spans="2:22" ht="17.25" thickBot="1">
      <c r="B71" s="104">
        <v>7</v>
      </c>
      <c r="C71" s="27" t="s">
        <v>26</v>
      </c>
      <c r="D71" s="26"/>
      <c r="E71" s="106"/>
      <c r="H71" s="174"/>
      <c r="I71" s="266" t="s">
        <v>16</v>
      </c>
      <c r="J71" s="266"/>
      <c r="K71" s="172">
        <f>SUM(K65:K70)</f>
        <v>1100000</v>
      </c>
      <c r="L71" s="3"/>
      <c r="N71" s="104">
        <v>7</v>
      </c>
      <c r="O71" s="27" t="s">
        <v>26</v>
      </c>
      <c r="P71" s="26"/>
      <c r="Q71" s="106"/>
    </row>
    <row r="72" spans="2:22">
      <c r="B72" s="104">
        <v>8</v>
      </c>
      <c r="C72" s="27" t="s">
        <v>27</v>
      </c>
      <c r="D72" s="26"/>
      <c r="E72" s="106"/>
      <c r="H72" s="247" t="s">
        <v>178</v>
      </c>
      <c r="I72" s="248"/>
      <c r="J72" s="249"/>
      <c r="K72" s="173">
        <f>J60-K71</f>
        <v>-100000</v>
      </c>
      <c r="L72" s="3"/>
      <c r="N72" s="104">
        <v>8</v>
      </c>
      <c r="O72" s="27" t="s">
        <v>27</v>
      </c>
      <c r="P72" s="26"/>
      <c r="Q72" s="106"/>
    </row>
    <row r="73" spans="2:22">
      <c r="B73" s="104">
        <v>9</v>
      </c>
      <c r="C73" s="27" t="s">
        <v>28</v>
      </c>
      <c r="D73" s="26"/>
      <c r="E73" s="106"/>
      <c r="H73" s="250"/>
      <c r="I73" s="251"/>
      <c r="J73" s="252"/>
      <c r="K73" s="173"/>
      <c r="L73" s="3"/>
      <c r="N73" s="104">
        <v>9</v>
      </c>
      <c r="O73" s="27" t="s">
        <v>28</v>
      </c>
      <c r="P73" s="26"/>
      <c r="Q73" s="106"/>
    </row>
    <row r="74" spans="2:22">
      <c r="B74" s="104">
        <v>10</v>
      </c>
      <c r="C74" s="27" t="s">
        <v>29</v>
      </c>
      <c r="D74" s="26"/>
      <c r="E74" s="106"/>
      <c r="H74" s="5"/>
      <c r="I74" s="2"/>
      <c r="J74" s="5"/>
      <c r="K74" s="3"/>
      <c r="L74" s="3"/>
      <c r="N74" s="104">
        <v>10</v>
      </c>
      <c r="O74" s="27" t="s">
        <v>29</v>
      </c>
      <c r="P74" s="26"/>
      <c r="Q74" s="106"/>
    </row>
    <row r="75" spans="2:22">
      <c r="B75" s="104"/>
      <c r="C75" s="27"/>
      <c r="D75" s="26"/>
      <c r="E75" s="106"/>
      <c r="H75" s="5"/>
      <c r="I75" s="2"/>
      <c r="J75" s="5"/>
      <c r="K75" s="3"/>
      <c r="L75" s="3"/>
      <c r="N75" s="104">
        <v>11</v>
      </c>
      <c r="O75" s="27" t="s">
        <v>177</v>
      </c>
      <c r="P75" s="26"/>
      <c r="Q75" s="106"/>
    </row>
    <row r="76" spans="2:22">
      <c r="B76" s="124"/>
      <c r="C76" s="267" t="s">
        <v>16</v>
      </c>
      <c r="D76" s="268"/>
      <c r="E76" s="126">
        <f>SUM(E65:E75)</f>
        <v>2640000</v>
      </c>
      <c r="H76" s="2"/>
      <c r="I76" s="2"/>
      <c r="J76" s="2"/>
      <c r="K76" s="3"/>
      <c r="L76" s="3"/>
      <c r="N76" s="124"/>
      <c r="O76" s="125"/>
      <c r="P76" s="125"/>
      <c r="Q76" s="126">
        <f>SUM(Q65:Q75)</f>
        <v>600000</v>
      </c>
    </row>
    <row r="77" spans="2:22">
      <c r="B77" s="2"/>
      <c r="C77" s="5"/>
      <c r="D77" s="5"/>
      <c r="E77" s="132">
        <f>D60-E76</f>
        <v>1360000</v>
      </c>
      <c r="H77" s="2"/>
      <c r="I77" s="2"/>
      <c r="J77" s="2"/>
      <c r="K77" s="3"/>
      <c r="L77" s="3"/>
      <c r="N77" s="2"/>
      <c r="O77" s="2"/>
      <c r="P77" s="2"/>
      <c r="Q77" s="132">
        <v>3000000</v>
      </c>
    </row>
    <row r="78" spans="2:22">
      <c r="B78" s="2"/>
      <c r="C78" s="5"/>
      <c r="D78" s="5"/>
      <c r="E78" s="3"/>
      <c r="H78" s="2"/>
      <c r="I78" s="2"/>
      <c r="J78" s="2"/>
      <c r="K78" s="3"/>
      <c r="L78" s="3"/>
      <c r="N78" s="2"/>
      <c r="O78" s="2"/>
      <c r="P78" s="2"/>
      <c r="Q78" s="3"/>
    </row>
    <row r="79" spans="2:22" s="58" customFormat="1">
      <c r="B79" s="19"/>
      <c r="C79" s="19"/>
      <c r="D79" s="19"/>
      <c r="E79" s="20"/>
      <c r="H79" s="19"/>
      <c r="I79" s="19"/>
      <c r="J79" s="19"/>
      <c r="K79" s="20"/>
      <c r="L79" s="20"/>
      <c r="N79" s="19"/>
      <c r="O79" s="19"/>
      <c r="P79" s="19"/>
      <c r="Q79" s="20"/>
      <c r="S79" s="19"/>
      <c r="T79" s="19"/>
      <c r="U79" s="19"/>
      <c r="V79" s="20"/>
    </row>
    <row r="80" spans="2:22" s="58" customFormat="1">
      <c r="B80" s="19"/>
      <c r="C80" s="19"/>
      <c r="D80" s="19"/>
      <c r="E80" s="20"/>
      <c r="H80" s="19"/>
      <c r="I80" s="19"/>
      <c r="J80" s="19"/>
      <c r="K80" s="20"/>
      <c r="L80" s="20"/>
      <c r="N80" s="19"/>
      <c r="O80" s="19"/>
      <c r="P80" s="19"/>
      <c r="Q80" s="20"/>
      <c r="S80" s="19"/>
      <c r="T80" s="19"/>
      <c r="U80" s="19"/>
      <c r="V80" s="20"/>
    </row>
    <row r="81" spans="2:17">
      <c r="B81" s="269" t="s">
        <v>0</v>
      </c>
      <c r="C81" s="270"/>
      <c r="D81" s="270"/>
      <c r="E81" s="271"/>
      <c r="H81" s="238" t="s">
        <v>0</v>
      </c>
      <c r="I81" s="239"/>
      <c r="J81" s="239"/>
      <c r="K81" s="240"/>
      <c r="L81" s="4"/>
      <c r="N81" s="238" t="s">
        <v>0</v>
      </c>
      <c r="O81" s="239"/>
      <c r="P81" s="239"/>
      <c r="Q81" s="240"/>
    </row>
    <row r="82" spans="2:17">
      <c r="B82" s="260" t="s">
        <v>49</v>
      </c>
      <c r="C82" s="261"/>
      <c r="D82" s="261"/>
      <c r="E82" s="262"/>
      <c r="H82" s="259" t="s">
        <v>50</v>
      </c>
      <c r="I82" s="242"/>
      <c r="J82" s="242"/>
      <c r="K82" s="243"/>
      <c r="L82" s="60"/>
      <c r="N82" s="259" t="s">
        <v>51</v>
      </c>
      <c r="O82" s="242"/>
      <c r="P82" s="242"/>
      <c r="Q82" s="243"/>
    </row>
    <row r="83" spans="2:17">
      <c r="B83" s="263"/>
      <c r="C83" s="264"/>
      <c r="D83" s="264"/>
      <c r="E83" s="265"/>
      <c r="H83" s="244"/>
      <c r="I83" s="245"/>
      <c r="J83" s="245"/>
      <c r="K83" s="246"/>
      <c r="L83" s="60"/>
      <c r="N83" s="244"/>
      <c r="O83" s="245"/>
      <c r="P83" s="245"/>
      <c r="Q83" s="246"/>
    </row>
    <row r="84" spans="2:17">
      <c r="B84" s="61"/>
      <c r="C84" s="62" t="s">
        <v>4</v>
      </c>
      <c r="D84" s="65"/>
      <c r="E84" s="64"/>
      <c r="H84" s="61"/>
      <c r="I84" s="62" t="s">
        <v>4</v>
      </c>
      <c r="J84" s="145" t="s">
        <v>52</v>
      </c>
      <c r="K84" s="64"/>
      <c r="L84" s="66"/>
      <c r="N84" s="61"/>
      <c r="O84" s="62" t="s">
        <v>4</v>
      </c>
      <c r="P84" s="147" t="s">
        <v>53</v>
      </c>
      <c r="Q84" s="138"/>
    </row>
    <row r="85" spans="2:17">
      <c r="B85" s="61"/>
      <c r="C85" s="62" t="s">
        <v>9</v>
      </c>
      <c r="D85" s="70">
        <v>2500000</v>
      </c>
      <c r="E85" s="71"/>
      <c r="H85" s="61"/>
      <c r="I85" s="62" t="s">
        <v>9</v>
      </c>
      <c r="J85" s="70">
        <v>1000000</v>
      </c>
      <c r="K85" s="71"/>
      <c r="L85" s="3"/>
      <c r="N85" s="61"/>
      <c r="O85" s="62" t="s">
        <v>9</v>
      </c>
      <c r="P85" s="139">
        <v>2500000</v>
      </c>
      <c r="Q85" s="140"/>
    </row>
    <row r="86" spans="2:17">
      <c r="B86" s="61"/>
      <c r="C86" s="62" t="s">
        <v>10</v>
      </c>
      <c r="D86" s="76">
        <v>250000</v>
      </c>
      <c r="E86" s="64"/>
      <c r="H86" s="61"/>
      <c r="I86" s="62" t="s">
        <v>10</v>
      </c>
      <c r="J86" s="76">
        <v>100000</v>
      </c>
      <c r="K86" s="64"/>
      <c r="L86" s="66"/>
      <c r="N86" s="61"/>
      <c r="O86" s="62" t="s">
        <v>10</v>
      </c>
      <c r="P86" s="141">
        <v>200000</v>
      </c>
      <c r="Q86" s="138"/>
    </row>
    <row r="87" spans="2:17">
      <c r="B87" s="77"/>
      <c r="C87" s="78" t="s">
        <v>12</v>
      </c>
      <c r="D87" s="79">
        <v>275000</v>
      </c>
      <c r="E87" s="80" t="s">
        <v>14</v>
      </c>
      <c r="H87" s="77"/>
      <c r="I87" s="78" t="s">
        <v>12</v>
      </c>
      <c r="J87" s="79">
        <v>110000</v>
      </c>
      <c r="K87" s="80" t="s">
        <v>14</v>
      </c>
      <c r="L87" s="81"/>
      <c r="N87" s="77"/>
      <c r="O87" s="78" t="s">
        <v>12</v>
      </c>
      <c r="P87" s="142">
        <v>220000</v>
      </c>
      <c r="Q87" s="143" t="s">
        <v>14</v>
      </c>
    </row>
    <row r="88" spans="2:17">
      <c r="B88" s="86"/>
      <c r="C88" s="87"/>
      <c r="D88" s="88"/>
      <c r="E88" s="89"/>
      <c r="H88" s="86"/>
      <c r="I88" s="87"/>
      <c r="J88" s="88"/>
      <c r="K88" s="89"/>
      <c r="L88" s="81"/>
      <c r="N88" s="86"/>
      <c r="O88" s="87"/>
      <c r="P88" s="88"/>
      <c r="Q88" s="89"/>
    </row>
    <row r="89" spans="2:17">
      <c r="B89" s="95" t="s">
        <v>15</v>
      </c>
      <c r="C89" s="96" t="s">
        <v>17</v>
      </c>
      <c r="D89" s="97" t="s">
        <v>18</v>
      </c>
      <c r="E89" s="98" t="s">
        <v>19</v>
      </c>
      <c r="H89" s="95" t="s">
        <v>15</v>
      </c>
      <c r="I89" s="96" t="s">
        <v>17</v>
      </c>
      <c r="J89" s="97" t="s">
        <v>18</v>
      </c>
      <c r="K89" s="98" t="s">
        <v>19</v>
      </c>
      <c r="L89" s="99"/>
      <c r="N89" s="95" t="s">
        <v>15</v>
      </c>
      <c r="O89" s="96" t="s">
        <v>17</v>
      </c>
      <c r="P89" s="97" t="s">
        <v>18</v>
      </c>
      <c r="Q89" s="98" t="s">
        <v>19</v>
      </c>
    </row>
    <row r="90" spans="2:17">
      <c r="B90" s="107">
        <v>1</v>
      </c>
      <c r="C90" s="94" t="s">
        <v>20</v>
      </c>
      <c r="D90" s="108">
        <v>46056</v>
      </c>
      <c r="E90" s="109">
        <v>275000</v>
      </c>
      <c r="H90" s="107">
        <v>1</v>
      </c>
      <c r="I90" s="94" t="s">
        <v>20</v>
      </c>
      <c r="J90" s="108">
        <v>46021</v>
      </c>
      <c r="K90" s="109">
        <v>110000</v>
      </c>
      <c r="L90" s="3"/>
      <c r="N90" s="107">
        <v>1</v>
      </c>
      <c r="O90" s="94" t="s">
        <v>20</v>
      </c>
      <c r="P90" s="108">
        <v>45989</v>
      </c>
      <c r="Q90" s="109">
        <v>220000</v>
      </c>
    </row>
    <row r="91" spans="2:17">
      <c r="B91" s="104">
        <v>2</v>
      </c>
      <c r="C91" s="27" t="s">
        <v>21</v>
      </c>
      <c r="D91" s="105">
        <v>46095</v>
      </c>
      <c r="E91" s="109">
        <v>275000</v>
      </c>
      <c r="H91" s="104">
        <v>2</v>
      </c>
      <c r="I91" s="27" t="s">
        <v>21</v>
      </c>
      <c r="J91" s="105">
        <v>46056</v>
      </c>
      <c r="K91" s="109">
        <v>110000</v>
      </c>
      <c r="L91" s="3"/>
      <c r="N91" s="104">
        <v>2</v>
      </c>
      <c r="O91" s="27" t="s">
        <v>21</v>
      </c>
      <c r="P91" s="105">
        <v>46021</v>
      </c>
      <c r="Q91" s="109">
        <v>220000</v>
      </c>
    </row>
    <row r="92" spans="2:17">
      <c r="B92" s="104">
        <v>3</v>
      </c>
      <c r="C92" s="27" t="s">
        <v>22</v>
      </c>
      <c r="D92" s="105"/>
      <c r="E92" s="109"/>
      <c r="H92" s="104">
        <v>3</v>
      </c>
      <c r="I92" s="27" t="s">
        <v>22</v>
      </c>
      <c r="J92" s="105">
        <v>46086</v>
      </c>
      <c r="K92" s="109">
        <v>110000</v>
      </c>
      <c r="L92" s="3"/>
      <c r="N92" s="104">
        <v>3</v>
      </c>
      <c r="O92" s="27" t="s">
        <v>22</v>
      </c>
      <c r="P92" s="105">
        <v>46054</v>
      </c>
      <c r="Q92" s="109">
        <v>220000</v>
      </c>
    </row>
    <row r="93" spans="2:17">
      <c r="B93" s="104">
        <v>4</v>
      </c>
      <c r="C93" s="27" t="s">
        <v>23</v>
      </c>
      <c r="D93" s="105"/>
      <c r="E93" s="106"/>
      <c r="H93" s="104">
        <v>4</v>
      </c>
      <c r="I93" s="27" t="s">
        <v>23</v>
      </c>
      <c r="J93" s="105">
        <v>46112</v>
      </c>
      <c r="K93" s="106">
        <v>110000</v>
      </c>
      <c r="L93" s="3"/>
      <c r="N93" s="104">
        <v>4</v>
      </c>
      <c r="O93" s="27" t="s">
        <v>23</v>
      </c>
      <c r="P93" s="105">
        <v>46084</v>
      </c>
      <c r="Q93" s="106">
        <v>220000</v>
      </c>
    </row>
    <row r="94" spans="2:17">
      <c r="B94" s="104">
        <v>5</v>
      </c>
      <c r="C94" s="27" t="s">
        <v>24</v>
      </c>
      <c r="D94" s="105"/>
      <c r="E94" s="106"/>
      <c r="H94" s="104">
        <v>5</v>
      </c>
      <c r="I94" s="27" t="s">
        <v>24</v>
      </c>
      <c r="J94" s="105">
        <v>46142</v>
      </c>
      <c r="K94" s="106">
        <v>110000</v>
      </c>
      <c r="L94" s="3"/>
      <c r="N94" s="104">
        <v>5</v>
      </c>
      <c r="O94" s="27" t="s">
        <v>24</v>
      </c>
      <c r="P94" s="105">
        <v>46112</v>
      </c>
      <c r="Q94" s="106">
        <v>220000</v>
      </c>
    </row>
    <row r="95" spans="2:17">
      <c r="B95" s="104">
        <v>6</v>
      </c>
      <c r="C95" s="27" t="s">
        <v>25</v>
      </c>
      <c r="D95" s="105"/>
      <c r="E95" s="106"/>
      <c r="H95" s="104">
        <v>6</v>
      </c>
      <c r="I95" s="27" t="s">
        <v>25</v>
      </c>
      <c r="J95" s="105"/>
      <c r="K95" s="106"/>
      <c r="L95" s="3"/>
      <c r="N95" s="104">
        <v>6</v>
      </c>
      <c r="O95" s="27" t="s">
        <v>25</v>
      </c>
      <c r="P95" s="105">
        <v>46142</v>
      </c>
      <c r="Q95" s="106">
        <v>220000</v>
      </c>
    </row>
    <row r="96" spans="2:17">
      <c r="B96" s="104">
        <v>7</v>
      </c>
      <c r="C96" s="27" t="s">
        <v>26</v>
      </c>
      <c r="D96" s="26"/>
      <c r="E96" s="106"/>
      <c r="H96" s="104">
        <v>7</v>
      </c>
      <c r="I96" s="27" t="s">
        <v>26</v>
      </c>
      <c r="J96" s="26"/>
      <c r="K96" s="106"/>
      <c r="L96" s="3"/>
      <c r="N96" s="104">
        <v>7</v>
      </c>
      <c r="O96" s="27" t="s">
        <v>26</v>
      </c>
      <c r="P96" s="105">
        <v>46172</v>
      </c>
      <c r="Q96" s="106">
        <v>220000</v>
      </c>
    </row>
    <row r="97" spans="2:22">
      <c r="B97" s="104">
        <v>8</v>
      </c>
      <c r="C97" s="27" t="s">
        <v>27</v>
      </c>
      <c r="D97" s="26"/>
      <c r="E97" s="106"/>
      <c r="H97" s="104">
        <v>8</v>
      </c>
      <c r="I97" s="27" t="s">
        <v>27</v>
      </c>
      <c r="J97" s="26"/>
      <c r="K97" s="106"/>
      <c r="L97" s="3"/>
      <c r="N97" s="104">
        <v>8</v>
      </c>
      <c r="O97" s="27" t="s">
        <v>27</v>
      </c>
      <c r="P97" s="105">
        <v>45838</v>
      </c>
      <c r="Q97" s="106">
        <v>220000</v>
      </c>
    </row>
    <row r="98" spans="2:22">
      <c r="B98" s="104">
        <v>9</v>
      </c>
      <c r="C98" s="27" t="s">
        <v>28</v>
      </c>
      <c r="D98" s="26"/>
      <c r="E98" s="106"/>
      <c r="H98" s="104">
        <v>9</v>
      </c>
      <c r="I98" s="27" t="s">
        <v>28</v>
      </c>
      <c r="J98" s="26"/>
      <c r="K98" s="106"/>
      <c r="L98" s="3"/>
      <c r="N98" s="104">
        <v>9</v>
      </c>
      <c r="O98" s="27" t="s">
        <v>28</v>
      </c>
      <c r="P98" s="105">
        <v>46211</v>
      </c>
      <c r="Q98" s="106">
        <v>220000</v>
      </c>
    </row>
    <row r="99" spans="2:22">
      <c r="B99" s="104">
        <v>10</v>
      </c>
      <c r="C99" s="27" t="s">
        <v>29</v>
      </c>
      <c r="D99" s="26"/>
      <c r="E99" s="106"/>
      <c r="H99" s="104">
        <v>10</v>
      </c>
      <c r="I99" s="27" t="s">
        <v>29</v>
      </c>
      <c r="J99" s="26"/>
      <c r="K99" s="106"/>
      <c r="L99" s="3"/>
      <c r="N99" s="104">
        <v>10</v>
      </c>
      <c r="O99" s="27" t="s">
        <v>29</v>
      </c>
      <c r="P99" s="105">
        <v>46211</v>
      </c>
      <c r="Q99" s="106">
        <v>220000</v>
      </c>
    </row>
    <row r="100" spans="2:22">
      <c r="B100" s="104"/>
      <c r="C100" s="27"/>
      <c r="D100" s="26"/>
      <c r="E100" s="106"/>
      <c r="H100" s="104"/>
      <c r="I100" s="27"/>
      <c r="J100" s="26"/>
      <c r="K100" s="106"/>
      <c r="L100" s="3"/>
      <c r="N100" s="104">
        <v>11</v>
      </c>
      <c r="O100" s="215" t="s">
        <v>193</v>
      </c>
      <c r="P100" s="105">
        <v>46234</v>
      </c>
      <c r="Q100" s="106">
        <v>500000</v>
      </c>
    </row>
    <row r="101" spans="2:22">
      <c r="B101" s="124"/>
      <c r="C101" s="125"/>
      <c r="D101" s="125"/>
      <c r="E101" s="126">
        <f>SUM(E90:E100)</f>
        <v>550000</v>
      </c>
      <c r="H101" s="124"/>
      <c r="I101" s="125"/>
      <c r="J101" s="125"/>
      <c r="K101" s="126">
        <f>SUM(K90:K100)</f>
        <v>550000</v>
      </c>
      <c r="L101" s="3"/>
      <c r="N101" s="124"/>
      <c r="O101" s="125"/>
      <c r="P101" s="125"/>
      <c r="Q101" s="126">
        <f>SUM(Q90:Q100)</f>
        <v>2700000</v>
      </c>
    </row>
    <row r="102" spans="2:22" s="58" customFormat="1">
      <c r="B102" s="19"/>
      <c r="C102" s="19"/>
      <c r="D102" s="19"/>
      <c r="E102" s="131">
        <v>2225000</v>
      </c>
      <c r="H102" s="19"/>
      <c r="I102" s="19"/>
      <c r="J102" s="19"/>
      <c r="K102" s="131"/>
      <c r="L102" s="20"/>
      <c r="N102" s="19"/>
      <c r="O102" s="19"/>
      <c r="P102" s="19"/>
      <c r="Q102" s="131"/>
      <c r="S102" s="19"/>
      <c r="T102" s="19"/>
      <c r="U102" s="19"/>
      <c r="V102" s="20"/>
    </row>
    <row r="103" spans="2:22" s="58" customFormat="1">
      <c r="B103" s="19"/>
      <c r="C103" s="19"/>
      <c r="D103" s="19"/>
      <c r="E103" s="20"/>
      <c r="H103" s="19"/>
      <c r="I103" s="19"/>
      <c r="J103" s="19"/>
      <c r="K103" s="20"/>
      <c r="L103" s="20"/>
      <c r="N103" s="19"/>
      <c r="O103" s="19"/>
      <c r="P103" s="19"/>
      <c r="Q103" s="20"/>
      <c r="S103" s="19"/>
      <c r="T103" s="19"/>
      <c r="U103" s="19"/>
      <c r="V103" s="20"/>
    </row>
    <row r="104" spans="2:22">
      <c r="B104" s="238" t="s">
        <v>0</v>
      </c>
      <c r="C104" s="239"/>
      <c r="D104" s="239"/>
      <c r="E104" s="240"/>
      <c r="H104" s="238" t="s">
        <v>0</v>
      </c>
      <c r="I104" s="239"/>
      <c r="J104" s="239"/>
      <c r="K104" s="240"/>
      <c r="L104" s="4"/>
      <c r="N104" s="238" t="s">
        <v>0</v>
      </c>
      <c r="O104" s="239"/>
      <c r="P104" s="239"/>
      <c r="Q104" s="240"/>
    </row>
    <row r="105" spans="2:22">
      <c r="B105" s="241" t="s">
        <v>179</v>
      </c>
      <c r="C105" s="242"/>
      <c r="D105" s="242"/>
      <c r="E105" s="243"/>
      <c r="H105" s="259" t="s">
        <v>54</v>
      </c>
      <c r="I105" s="242"/>
      <c r="J105" s="242"/>
      <c r="K105" s="243"/>
      <c r="L105" s="60"/>
      <c r="N105" s="259" t="s">
        <v>55</v>
      </c>
      <c r="O105" s="242"/>
      <c r="P105" s="242"/>
      <c r="Q105" s="243"/>
    </row>
    <row r="106" spans="2:22">
      <c r="B106" s="244"/>
      <c r="C106" s="245"/>
      <c r="D106" s="245"/>
      <c r="E106" s="246"/>
      <c r="H106" s="244"/>
      <c r="I106" s="245"/>
      <c r="J106" s="245"/>
      <c r="K106" s="246"/>
      <c r="L106" s="60"/>
      <c r="N106" s="244"/>
      <c r="O106" s="245"/>
      <c r="P106" s="245"/>
      <c r="Q106" s="246"/>
    </row>
    <row r="107" spans="2:22">
      <c r="B107" s="61"/>
      <c r="C107" s="62" t="s">
        <v>4</v>
      </c>
      <c r="D107" s="147" t="s">
        <v>56</v>
      </c>
      <c r="E107" s="138"/>
      <c r="H107" s="61"/>
      <c r="I107" s="62" t="s">
        <v>4</v>
      </c>
      <c r="J107" s="147" t="s">
        <v>56</v>
      </c>
      <c r="K107" s="138"/>
      <c r="L107" s="66"/>
      <c r="N107" s="61"/>
      <c r="O107" s="62" t="s">
        <v>4</v>
      </c>
      <c r="P107" s="65"/>
      <c r="Q107" s="64"/>
    </row>
    <row r="108" spans="2:22">
      <c r="B108" s="61"/>
      <c r="C108" s="62" t="s">
        <v>9</v>
      </c>
      <c r="D108" s="139">
        <v>2000000</v>
      </c>
      <c r="E108" s="140"/>
      <c r="H108" s="61"/>
      <c r="I108" s="62" t="s">
        <v>9</v>
      </c>
      <c r="J108" s="139">
        <v>2000000</v>
      </c>
      <c r="K108" s="140"/>
      <c r="L108" s="3"/>
      <c r="N108" s="61"/>
      <c r="O108" s="62" t="s">
        <v>9</v>
      </c>
      <c r="P108" s="70">
        <v>2500000</v>
      </c>
      <c r="Q108" s="71"/>
    </row>
    <row r="109" spans="2:22">
      <c r="B109" s="61"/>
      <c r="C109" s="62" t="s">
        <v>10</v>
      </c>
      <c r="D109" s="141">
        <v>200000</v>
      </c>
      <c r="E109" s="138"/>
      <c r="H109" s="61"/>
      <c r="I109" s="62" t="s">
        <v>10</v>
      </c>
      <c r="J109" s="141">
        <v>200000</v>
      </c>
      <c r="K109" s="138"/>
      <c r="L109" s="66"/>
      <c r="N109" s="61"/>
      <c r="O109" s="62" t="s">
        <v>10</v>
      </c>
      <c r="P109" s="76"/>
      <c r="Q109" s="64"/>
    </row>
    <row r="110" spans="2:22">
      <c r="B110" s="77"/>
      <c r="C110" s="78" t="s">
        <v>12</v>
      </c>
      <c r="D110" s="142">
        <v>220000</v>
      </c>
      <c r="E110" s="143" t="s">
        <v>14</v>
      </c>
      <c r="H110" s="77"/>
      <c r="I110" s="78" t="s">
        <v>12</v>
      </c>
      <c r="J110" s="142">
        <v>220000</v>
      </c>
      <c r="K110" s="143" t="s">
        <v>14</v>
      </c>
      <c r="L110" s="81"/>
      <c r="N110" s="77"/>
      <c r="O110" s="78" t="s">
        <v>12</v>
      </c>
      <c r="P110" s="79"/>
      <c r="Q110" s="80"/>
    </row>
    <row r="111" spans="2:22">
      <c r="B111" s="86"/>
      <c r="C111" s="87"/>
      <c r="D111" s="88"/>
      <c r="E111" s="89"/>
      <c r="H111" s="86"/>
      <c r="I111" s="87"/>
      <c r="J111" s="88"/>
      <c r="K111" s="89"/>
      <c r="L111" s="81"/>
      <c r="N111" s="86"/>
      <c r="O111" s="87"/>
      <c r="P111" s="88"/>
      <c r="Q111" s="89"/>
    </row>
    <row r="112" spans="2:22" ht="17.25" thickBot="1">
      <c r="B112" s="95" t="s">
        <v>15</v>
      </c>
      <c r="C112" s="96" t="s">
        <v>17</v>
      </c>
      <c r="D112" s="97" t="s">
        <v>18</v>
      </c>
      <c r="E112" s="98" t="s">
        <v>19</v>
      </c>
      <c r="H112" s="95" t="s">
        <v>15</v>
      </c>
      <c r="I112" s="96" t="s">
        <v>17</v>
      </c>
      <c r="J112" s="97" t="s">
        <v>18</v>
      </c>
      <c r="K112" s="98" t="s">
        <v>19</v>
      </c>
      <c r="L112" s="99"/>
      <c r="N112" s="95" t="s">
        <v>15</v>
      </c>
      <c r="O112" s="96" t="s">
        <v>17</v>
      </c>
      <c r="P112" s="97" t="s">
        <v>18</v>
      </c>
      <c r="Q112" s="98" t="s">
        <v>19</v>
      </c>
    </row>
    <row r="113" spans="2:17">
      <c r="B113" s="107">
        <v>1</v>
      </c>
      <c r="C113" s="94" t="s">
        <v>20</v>
      </c>
      <c r="D113" s="108">
        <v>45993</v>
      </c>
      <c r="E113" s="109">
        <v>220000</v>
      </c>
      <c r="H113" s="107">
        <v>1</v>
      </c>
      <c r="I113" s="94" t="s">
        <v>20</v>
      </c>
      <c r="J113" s="108">
        <v>46024</v>
      </c>
      <c r="K113" s="109">
        <v>220000</v>
      </c>
      <c r="L113" s="3"/>
      <c r="N113" s="133">
        <v>1</v>
      </c>
      <c r="O113" s="134" t="s">
        <v>20</v>
      </c>
      <c r="P113" s="135">
        <v>46056</v>
      </c>
      <c r="Q113" s="136">
        <v>500000</v>
      </c>
    </row>
    <row r="114" spans="2:17">
      <c r="B114" s="104">
        <v>2</v>
      </c>
      <c r="C114" s="27" t="s">
        <v>21</v>
      </c>
      <c r="D114" s="105">
        <v>46036</v>
      </c>
      <c r="E114" s="109">
        <v>220000</v>
      </c>
      <c r="H114" s="104">
        <v>2</v>
      </c>
      <c r="I114" s="27" t="s">
        <v>21</v>
      </c>
      <c r="J114" s="105">
        <v>46053</v>
      </c>
      <c r="K114" s="109">
        <v>220000</v>
      </c>
      <c r="L114" s="3"/>
      <c r="N114" s="104">
        <v>2</v>
      </c>
      <c r="O114" s="27" t="s">
        <v>21</v>
      </c>
      <c r="P114" s="105">
        <v>46082</v>
      </c>
      <c r="Q114" s="109">
        <v>500000</v>
      </c>
    </row>
    <row r="115" spans="2:17">
      <c r="B115" s="104">
        <v>3</v>
      </c>
      <c r="C115" s="27" t="s">
        <v>22</v>
      </c>
      <c r="D115" s="105">
        <v>46058</v>
      </c>
      <c r="E115" s="109">
        <v>220000</v>
      </c>
      <c r="H115" s="104">
        <v>3</v>
      </c>
      <c r="I115" s="27" t="s">
        <v>22</v>
      </c>
      <c r="J115" s="105">
        <v>46083</v>
      </c>
      <c r="K115" s="109">
        <v>220000</v>
      </c>
      <c r="L115" s="3"/>
      <c r="N115" s="104">
        <v>3</v>
      </c>
      <c r="O115" s="27" t="s">
        <v>22</v>
      </c>
      <c r="P115" s="105">
        <v>46113</v>
      </c>
      <c r="Q115" s="109">
        <v>500000</v>
      </c>
    </row>
    <row r="116" spans="2:17">
      <c r="B116" s="104">
        <v>4</v>
      </c>
      <c r="C116" s="27" t="s">
        <v>23</v>
      </c>
      <c r="D116" s="105">
        <v>46084</v>
      </c>
      <c r="E116" s="106">
        <v>220000</v>
      </c>
      <c r="H116" s="104">
        <v>4</v>
      </c>
      <c r="I116" s="27" t="s">
        <v>23</v>
      </c>
      <c r="J116" s="105">
        <v>46114</v>
      </c>
      <c r="K116" s="109">
        <v>220000</v>
      </c>
      <c r="L116" s="3"/>
      <c r="N116" s="104">
        <v>4</v>
      </c>
      <c r="O116" s="27" t="s">
        <v>23</v>
      </c>
      <c r="P116" s="105">
        <v>46146</v>
      </c>
      <c r="Q116" s="109">
        <v>500000</v>
      </c>
    </row>
    <row r="117" spans="2:17">
      <c r="B117" s="104">
        <v>5</v>
      </c>
      <c r="C117" s="27" t="s">
        <v>24</v>
      </c>
      <c r="D117" s="105">
        <v>46114</v>
      </c>
      <c r="E117" s="106">
        <v>220000</v>
      </c>
      <c r="H117" s="104">
        <v>5</v>
      </c>
      <c r="I117" s="27" t="s">
        <v>24</v>
      </c>
      <c r="J117" s="105">
        <v>46147</v>
      </c>
      <c r="K117" s="109">
        <v>220000</v>
      </c>
      <c r="L117" s="3"/>
      <c r="N117" s="104">
        <v>5</v>
      </c>
      <c r="O117" s="27" t="s">
        <v>24</v>
      </c>
      <c r="P117" s="105"/>
      <c r="Q117" s="106"/>
    </row>
    <row r="118" spans="2:17">
      <c r="B118" s="104">
        <v>6</v>
      </c>
      <c r="C118" s="27" t="s">
        <v>25</v>
      </c>
      <c r="D118" s="105">
        <v>46147</v>
      </c>
      <c r="E118" s="106">
        <v>220000</v>
      </c>
      <c r="H118" s="104">
        <v>6</v>
      </c>
      <c r="I118" s="27" t="s">
        <v>25</v>
      </c>
      <c r="J118" s="105"/>
      <c r="K118" s="106"/>
      <c r="L118" s="3"/>
      <c r="N118" s="104"/>
      <c r="O118" s="27"/>
      <c r="P118" s="105"/>
      <c r="Q118" s="106"/>
    </row>
    <row r="119" spans="2:17">
      <c r="B119" s="104">
        <v>7</v>
      </c>
      <c r="C119" s="27" t="s">
        <v>26</v>
      </c>
      <c r="D119" s="105">
        <v>46174</v>
      </c>
      <c r="E119" s="106">
        <v>220000</v>
      </c>
      <c r="H119" s="104">
        <v>7</v>
      </c>
      <c r="I119" s="27" t="s">
        <v>26</v>
      </c>
      <c r="J119" s="26"/>
      <c r="K119" s="106"/>
      <c r="L119" s="3"/>
      <c r="N119" s="104"/>
      <c r="O119" s="27"/>
      <c r="P119" s="26"/>
      <c r="Q119" s="106"/>
    </row>
    <row r="120" spans="2:17" ht="17.25" thickBot="1">
      <c r="B120" s="104">
        <v>8</v>
      </c>
      <c r="C120" s="27" t="s">
        <v>27</v>
      </c>
      <c r="D120" s="105">
        <v>46204</v>
      </c>
      <c r="E120" s="106">
        <v>220000</v>
      </c>
      <c r="H120" s="104">
        <v>8</v>
      </c>
      <c r="I120" s="27" t="s">
        <v>27</v>
      </c>
      <c r="J120" s="26"/>
      <c r="K120" s="106"/>
      <c r="L120" s="3"/>
      <c r="N120" s="124"/>
      <c r="O120" s="125"/>
      <c r="P120" s="125"/>
      <c r="Q120" s="126">
        <f>SUM(Q113:Q119)</f>
        <v>2000000</v>
      </c>
    </row>
    <row r="121" spans="2:17">
      <c r="B121" s="104">
        <v>9</v>
      </c>
      <c r="C121" s="27" t="s">
        <v>28</v>
      </c>
      <c r="D121" s="105">
        <v>46237</v>
      </c>
      <c r="E121" s="106">
        <v>220000</v>
      </c>
      <c r="H121" s="104">
        <v>9</v>
      </c>
      <c r="I121" s="27" t="s">
        <v>28</v>
      </c>
      <c r="J121" s="26"/>
      <c r="K121" s="106"/>
      <c r="L121" s="3"/>
      <c r="M121" s="144"/>
      <c r="N121" s="150"/>
      <c r="O121" s="2"/>
      <c r="P121" s="150"/>
      <c r="Q121" s="3"/>
    </row>
    <row r="122" spans="2:17">
      <c r="B122" s="104">
        <v>10</v>
      </c>
      <c r="C122" s="27" t="s">
        <v>29</v>
      </c>
      <c r="D122" s="26"/>
      <c r="E122" s="106"/>
      <c r="H122" s="104">
        <v>10</v>
      </c>
      <c r="I122" s="27" t="s">
        <v>29</v>
      </c>
      <c r="J122" s="26"/>
      <c r="K122" s="106"/>
      <c r="L122" s="3"/>
      <c r="M122" s="144"/>
      <c r="N122" s="150"/>
      <c r="O122" s="2"/>
      <c r="P122" s="150"/>
      <c r="Q122" s="3"/>
    </row>
    <row r="123" spans="2:17">
      <c r="B123" s="104"/>
      <c r="C123" s="27"/>
      <c r="D123" s="26"/>
      <c r="E123" s="106"/>
      <c r="H123" s="104"/>
      <c r="I123" s="27"/>
      <c r="J123" s="26"/>
      <c r="K123" s="106"/>
      <c r="L123" s="3"/>
    </row>
    <row r="124" spans="2:17" ht="17.25" thickBot="1">
      <c r="B124" s="124"/>
      <c r="C124" s="125"/>
      <c r="D124" s="125"/>
      <c r="E124" s="126">
        <f>SUM(E113:E123)</f>
        <v>1980000</v>
      </c>
      <c r="H124" s="124"/>
      <c r="I124" s="125"/>
      <c r="J124" s="125"/>
      <c r="K124" s="126">
        <f>SUM(K113:K123)</f>
        <v>1100000</v>
      </c>
      <c r="L124" s="3"/>
    </row>
    <row r="125" spans="2:17">
      <c r="E125" s="131"/>
      <c r="K125" s="131"/>
      <c r="Q125" s="131">
        <f>P108-Q120</f>
        <v>500000</v>
      </c>
    </row>
    <row r="128" spans="2:17" ht="17.25" thickBot="1"/>
    <row r="129" spans="3:17" ht="23.25" customHeight="1">
      <c r="N129" s="238" t="s">
        <v>0</v>
      </c>
      <c r="O129" s="239"/>
      <c r="P129" s="239"/>
      <c r="Q129" s="240"/>
    </row>
    <row r="130" spans="3:17" ht="23.25" customHeight="1">
      <c r="C130" s="11">
        <v>29605000</v>
      </c>
      <c r="N130" s="241" t="s">
        <v>51</v>
      </c>
      <c r="O130" s="242"/>
      <c r="P130" s="242"/>
      <c r="Q130" s="243"/>
    </row>
    <row r="131" spans="3:17" ht="23.25" customHeight="1">
      <c r="N131" s="244"/>
      <c r="O131" s="245"/>
      <c r="P131" s="245"/>
      <c r="Q131" s="246"/>
    </row>
    <row r="132" spans="3:17" ht="23.25" customHeight="1">
      <c r="N132" s="61"/>
      <c r="O132" s="62" t="s">
        <v>4</v>
      </c>
      <c r="P132" s="147" t="s">
        <v>57</v>
      </c>
      <c r="Q132" s="138"/>
    </row>
    <row r="133" spans="3:17" ht="23.25" customHeight="1">
      <c r="N133" s="61"/>
      <c r="O133" s="62" t="s">
        <v>9</v>
      </c>
      <c r="P133" s="139">
        <v>1800000</v>
      </c>
      <c r="Q133" s="140"/>
    </row>
    <row r="134" spans="3:17" ht="23.25" customHeight="1">
      <c r="N134" s="61"/>
      <c r="O134" s="62" t="s">
        <v>10</v>
      </c>
      <c r="P134" s="141">
        <v>180000</v>
      </c>
      <c r="Q134" s="138"/>
    </row>
    <row r="135" spans="3:17" ht="23.25" customHeight="1">
      <c r="N135" s="77"/>
      <c r="O135" s="78" t="s">
        <v>12</v>
      </c>
      <c r="P135" s="142">
        <v>300000</v>
      </c>
      <c r="Q135" s="143" t="s">
        <v>41</v>
      </c>
    </row>
    <row r="136" spans="3:17" ht="23.25" customHeight="1" thickBot="1">
      <c r="N136" s="86"/>
      <c r="O136" s="87"/>
      <c r="P136" s="88"/>
      <c r="Q136" s="89"/>
    </row>
    <row r="137" spans="3:17" ht="23.25" customHeight="1" thickBot="1">
      <c r="N137" s="95" t="s">
        <v>15</v>
      </c>
      <c r="O137" s="96" t="s">
        <v>17</v>
      </c>
      <c r="P137" s="97" t="s">
        <v>18</v>
      </c>
      <c r="Q137" s="98" t="s">
        <v>19</v>
      </c>
    </row>
    <row r="138" spans="3:17" ht="23.25" customHeight="1">
      <c r="N138" s="133">
        <v>1</v>
      </c>
      <c r="O138" s="134" t="s">
        <v>20</v>
      </c>
      <c r="P138" s="135">
        <v>46060</v>
      </c>
      <c r="Q138" s="136">
        <v>250000</v>
      </c>
    </row>
    <row r="139" spans="3:17" ht="23.25" customHeight="1">
      <c r="N139" s="104">
        <v>2</v>
      </c>
      <c r="O139" s="27" t="s">
        <v>21</v>
      </c>
      <c r="P139" s="105">
        <v>46113</v>
      </c>
      <c r="Q139" s="109">
        <v>300000</v>
      </c>
    </row>
    <row r="140" spans="3:17" ht="23.25" customHeight="1">
      <c r="N140" s="104">
        <v>3</v>
      </c>
      <c r="O140" s="27" t="s">
        <v>22</v>
      </c>
      <c r="P140" s="105"/>
      <c r="Q140" s="109"/>
    </row>
    <row r="141" spans="3:17" ht="23.25" customHeight="1">
      <c r="H141" s="151"/>
      <c r="I141" s="2"/>
      <c r="J141" s="178"/>
      <c r="K141" s="3"/>
      <c r="N141" s="104">
        <v>4</v>
      </c>
      <c r="O141" s="27" t="s">
        <v>23</v>
      </c>
      <c r="P141" s="105"/>
      <c r="Q141" s="106"/>
    </row>
    <row r="142" spans="3:17" ht="23.25" customHeight="1">
      <c r="H142" s="151"/>
      <c r="I142" s="2"/>
      <c r="J142" s="178"/>
      <c r="K142" s="3"/>
      <c r="N142" s="104">
        <v>5</v>
      </c>
      <c r="O142" s="27" t="s">
        <v>24</v>
      </c>
      <c r="P142" s="105"/>
      <c r="Q142" s="106"/>
    </row>
    <row r="143" spans="3:17" ht="23.25" customHeight="1">
      <c r="H143" s="151"/>
      <c r="I143" s="2"/>
      <c r="J143" s="178"/>
      <c r="K143" s="3"/>
      <c r="N143" s="104">
        <v>6</v>
      </c>
      <c r="O143" s="27" t="s">
        <v>25</v>
      </c>
      <c r="P143" s="105"/>
      <c r="Q143" s="106"/>
    </row>
    <row r="144" spans="3:17" ht="23.25" customHeight="1">
      <c r="H144" s="151"/>
      <c r="I144" s="229"/>
      <c r="J144" s="229"/>
      <c r="K144" s="3"/>
      <c r="N144" s="104"/>
      <c r="O144" s="27"/>
      <c r="P144" s="26"/>
      <c r="Q144" s="106"/>
    </row>
    <row r="145" spans="1:22" ht="23.25" customHeight="1" thickBot="1">
      <c r="H145" s="230"/>
      <c r="I145" s="230"/>
      <c r="J145" s="230"/>
      <c r="K145" s="3"/>
      <c r="N145" s="124"/>
      <c r="O145" s="125"/>
      <c r="P145" s="125"/>
      <c r="Q145" s="126">
        <f>SUM(Q138:Q144)</f>
        <v>550000</v>
      </c>
    </row>
    <row r="146" spans="1:22" ht="23.25" customHeight="1">
      <c r="H146" s="230"/>
      <c r="I146" s="230"/>
      <c r="J146" s="230"/>
      <c r="K146" s="3"/>
      <c r="M146" s="144"/>
      <c r="N146" s="5"/>
      <c r="O146" s="2"/>
      <c r="P146" s="5"/>
      <c r="Q146" s="3"/>
      <c r="R146" s="144"/>
      <c r="S146" s="2"/>
      <c r="T146" s="2"/>
    </row>
    <row r="147" spans="1:22" ht="17.25" thickBot="1">
      <c r="M147" s="144"/>
      <c r="N147" s="5"/>
      <c r="O147" s="2"/>
      <c r="P147" s="5"/>
      <c r="Q147" s="3"/>
      <c r="R147" s="144"/>
      <c r="S147" s="2"/>
      <c r="T147" s="2"/>
    </row>
    <row r="148" spans="1:22" s="186" customFormat="1" ht="22.5" customHeight="1">
      <c r="A148" s="179"/>
      <c r="B148" s="224" t="s">
        <v>0</v>
      </c>
      <c r="C148" s="224"/>
      <c r="D148" s="224"/>
      <c r="E148" s="224"/>
      <c r="F148" s="179"/>
      <c r="G148" s="179"/>
      <c r="H148" s="253" t="s">
        <v>0</v>
      </c>
      <c r="I148" s="254"/>
      <c r="J148" s="254"/>
      <c r="K148" s="255"/>
      <c r="L148" s="196"/>
      <c r="M148" s="196"/>
      <c r="N148" s="196"/>
      <c r="O148" s="183"/>
      <c r="P148" s="183"/>
      <c r="Q148" s="184"/>
      <c r="R148" s="182"/>
      <c r="S148" s="185"/>
      <c r="T148" s="185"/>
      <c r="U148" s="180"/>
      <c r="V148" s="181"/>
    </row>
    <row r="149" spans="1:22" ht="12.75" customHeight="1">
      <c r="B149" s="225" t="s">
        <v>195</v>
      </c>
      <c r="C149" s="225"/>
      <c r="D149" s="225"/>
      <c r="E149" s="225"/>
      <c r="H149" s="256" t="s">
        <v>181</v>
      </c>
      <c r="I149" s="257"/>
      <c r="J149" s="257"/>
      <c r="K149" s="258"/>
      <c r="L149" s="231"/>
      <c r="M149" s="231"/>
      <c r="N149" s="231"/>
      <c r="O149" s="16"/>
      <c r="P149" s="16"/>
      <c r="Q149" s="17"/>
      <c r="R149" s="144"/>
      <c r="S149" s="2"/>
      <c r="T149" s="2"/>
    </row>
    <row r="150" spans="1:22" ht="13.5" customHeight="1">
      <c r="B150" s="225"/>
      <c r="C150" s="225"/>
      <c r="D150" s="225"/>
      <c r="E150" s="225"/>
      <c r="H150" s="256"/>
      <c r="I150" s="257"/>
      <c r="J150" s="257"/>
      <c r="K150" s="258"/>
      <c r="L150" s="231"/>
      <c r="M150" s="231"/>
      <c r="N150" s="231"/>
      <c r="O150" s="16"/>
      <c r="P150" s="16"/>
      <c r="Q150" s="17"/>
      <c r="R150" s="144"/>
      <c r="S150" s="2"/>
      <c r="T150" s="2"/>
    </row>
    <row r="151" spans="1:22" s="193" customFormat="1" ht="20.25" customHeight="1">
      <c r="A151" s="187"/>
      <c r="B151" s="220">
        <v>1</v>
      </c>
      <c r="C151" s="222" t="s">
        <v>182</v>
      </c>
      <c r="D151" s="191"/>
      <c r="E151" s="216"/>
      <c r="F151" s="187"/>
      <c r="G151" s="187"/>
      <c r="H151" s="197">
        <v>1</v>
      </c>
      <c r="I151" s="190" t="s">
        <v>182</v>
      </c>
      <c r="J151" s="191" t="s">
        <v>185</v>
      </c>
      <c r="K151" s="198">
        <v>800000</v>
      </c>
      <c r="L151" s="228"/>
      <c r="M151" s="228"/>
      <c r="N151" s="228"/>
      <c r="O151" s="188"/>
      <c r="P151" s="188"/>
      <c r="Q151" s="189"/>
      <c r="R151" s="187"/>
      <c r="S151" s="192"/>
      <c r="T151" s="192"/>
      <c r="U151" s="188"/>
      <c r="V151" s="189"/>
    </row>
    <row r="152" spans="1:22" s="193" customFormat="1" ht="20.25" customHeight="1">
      <c r="A152" s="187"/>
      <c r="B152" s="220"/>
      <c r="C152" s="223" t="s">
        <v>186</v>
      </c>
      <c r="D152" s="217">
        <v>1100000</v>
      </c>
      <c r="E152" s="218"/>
      <c r="F152" s="187"/>
      <c r="G152" s="187"/>
      <c r="H152" s="197">
        <v>2</v>
      </c>
      <c r="I152" s="194"/>
      <c r="J152" s="191" t="s">
        <v>186</v>
      </c>
      <c r="K152" s="199">
        <v>1100000</v>
      </c>
      <c r="L152" s="228"/>
      <c r="M152" s="228"/>
      <c r="N152" s="228"/>
      <c r="O152" s="188"/>
      <c r="P152" s="188"/>
      <c r="Q152" s="189"/>
      <c r="R152" s="187"/>
      <c r="S152" s="192"/>
      <c r="T152" s="192"/>
      <c r="U152" s="188"/>
      <c r="V152" s="189"/>
    </row>
    <row r="153" spans="1:22" s="193" customFormat="1" ht="20.25" customHeight="1">
      <c r="A153" s="187"/>
      <c r="B153" s="220"/>
      <c r="C153" s="223" t="s">
        <v>187</v>
      </c>
      <c r="D153" s="217">
        <v>1200000</v>
      </c>
      <c r="E153" s="218"/>
      <c r="F153" s="187"/>
      <c r="G153" s="187"/>
      <c r="H153" s="197">
        <v>3</v>
      </c>
      <c r="I153" s="194"/>
      <c r="J153" s="191" t="s">
        <v>187</v>
      </c>
      <c r="K153" s="199">
        <v>1200000</v>
      </c>
      <c r="L153" s="228"/>
      <c r="M153" s="228"/>
      <c r="N153" s="228"/>
      <c r="O153" s="188"/>
      <c r="P153" s="188"/>
      <c r="Q153" s="189"/>
      <c r="R153" s="187"/>
      <c r="S153" s="192"/>
      <c r="T153" s="192"/>
      <c r="U153" s="188"/>
      <c r="V153" s="189"/>
    </row>
    <row r="154" spans="1:22" s="193" customFormat="1" ht="20.25" customHeight="1">
      <c r="A154" s="187"/>
      <c r="B154" s="220"/>
      <c r="C154" s="223" t="s">
        <v>188</v>
      </c>
      <c r="D154" s="217">
        <v>700000</v>
      </c>
      <c r="E154" s="218"/>
      <c r="F154" s="187"/>
      <c r="G154" s="187"/>
      <c r="H154" s="197">
        <v>4</v>
      </c>
      <c r="I154" s="194"/>
      <c r="J154" s="191" t="s">
        <v>188</v>
      </c>
      <c r="K154" s="199">
        <v>600000</v>
      </c>
      <c r="L154" s="228"/>
      <c r="M154" s="228"/>
      <c r="N154" s="228"/>
      <c r="O154" s="188"/>
      <c r="P154" s="188"/>
      <c r="Q154" s="189"/>
      <c r="R154" s="187"/>
      <c r="S154" s="192"/>
      <c r="T154" s="192"/>
      <c r="U154" s="188"/>
      <c r="V154" s="189"/>
    </row>
    <row r="155" spans="1:22" s="193" customFormat="1" ht="20.25" customHeight="1">
      <c r="A155" s="187"/>
      <c r="B155" s="220">
        <v>2</v>
      </c>
      <c r="C155" s="222" t="s">
        <v>183</v>
      </c>
      <c r="D155" s="195"/>
      <c r="E155" s="217">
        <v>1210000</v>
      </c>
      <c r="F155" s="187"/>
      <c r="G155" s="187"/>
      <c r="H155" s="197">
        <v>5</v>
      </c>
      <c r="I155" s="190" t="s">
        <v>183</v>
      </c>
      <c r="J155" s="195">
        <v>0</v>
      </c>
      <c r="K155" s="199">
        <v>0</v>
      </c>
      <c r="L155" s="228"/>
      <c r="M155" s="228"/>
      <c r="N155" s="228"/>
      <c r="O155" s="188"/>
      <c r="P155" s="188"/>
      <c r="Q155" s="189"/>
      <c r="R155" s="187"/>
      <c r="S155" s="192"/>
      <c r="T155" s="192"/>
      <c r="U155" s="188"/>
      <c r="V155" s="189"/>
    </row>
    <row r="156" spans="1:22" s="193" customFormat="1" ht="20.25" customHeight="1">
      <c r="A156" s="187"/>
      <c r="B156" s="220">
        <v>3</v>
      </c>
      <c r="C156" s="222" t="s">
        <v>194</v>
      </c>
      <c r="D156" s="216">
        <v>100000</v>
      </c>
      <c r="E156" s="218"/>
      <c r="F156" s="187"/>
      <c r="G156" s="187"/>
      <c r="H156" s="197">
        <v>6</v>
      </c>
      <c r="I156" s="190" t="s">
        <v>184</v>
      </c>
      <c r="J156" s="194"/>
      <c r="K156" s="198">
        <v>100000</v>
      </c>
      <c r="L156" s="228"/>
      <c r="M156" s="228"/>
      <c r="N156" s="228"/>
      <c r="O156" s="188"/>
      <c r="P156" s="188"/>
      <c r="Q156" s="189"/>
      <c r="R156" s="187"/>
      <c r="S156" s="192"/>
      <c r="T156" s="192"/>
      <c r="U156" s="188"/>
      <c r="V156" s="189"/>
    </row>
    <row r="157" spans="1:22" s="193" customFormat="1" ht="20.25" customHeight="1">
      <c r="A157" s="187"/>
      <c r="B157" s="227">
        <v>4</v>
      </c>
      <c r="C157" s="226" t="s">
        <v>42</v>
      </c>
      <c r="D157" s="217">
        <f>SUM(D152:D156)</f>
        <v>3100000</v>
      </c>
      <c r="E157" s="216"/>
      <c r="F157" s="187"/>
      <c r="G157" s="187"/>
      <c r="H157" s="197">
        <v>7</v>
      </c>
      <c r="I157" s="194"/>
      <c r="J157" s="194"/>
      <c r="K157" s="198"/>
      <c r="L157" s="228"/>
      <c r="M157" s="228"/>
      <c r="N157" s="228"/>
      <c r="O157" s="188"/>
      <c r="P157" s="188"/>
      <c r="Q157" s="189"/>
      <c r="R157" s="187"/>
      <c r="S157" s="192"/>
      <c r="T157" s="192"/>
      <c r="U157" s="188"/>
      <c r="V157" s="189"/>
    </row>
    <row r="158" spans="1:22" s="193" customFormat="1" ht="20.25" customHeight="1">
      <c r="A158" s="187"/>
      <c r="B158" s="227"/>
      <c r="C158" s="226"/>
      <c r="D158" s="195"/>
      <c r="E158" s="219">
        <f>SUM(E151:E157)</f>
        <v>1210000</v>
      </c>
      <c r="F158" s="187"/>
      <c r="G158" s="187"/>
      <c r="H158" s="197"/>
      <c r="I158" s="190" t="s">
        <v>42</v>
      </c>
      <c r="J158" s="195"/>
      <c r="K158" s="200">
        <f>SUM(K151:K157)</f>
        <v>3800000</v>
      </c>
      <c r="L158" s="228"/>
      <c r="M158" s="228"/>
      <c r="N158" s="228"/>
      <c r="O158" s="188"/>
      <c r="P158" s="188"/>
      <c r="Q158" s="189"/>
      <c r="R158" s="187"/>
      <c r="S158" s="192"/>
      <c r="T158" s="192"/>
      <c r="U158" s="188"/>
      <c r="V158" s="189"/>
    </row>
    <row r="159" spans="1:22" s="193" customFormat="1" ht="28.5" customHeight="1" thickBot="1">
      <c r="A159" s="187"/>
      <c r="B159" s="220">
        <v>5</v>
      </c>
      <c r="C159" s="221" t="s">
        <v>196</v>
      </c>
      <c r="D159" s="195">
        <f>D157-E158</f>
        <v>1890000</v>
      </c>
      <c r="E159" s="219"/>
      <c r="F159" s="187"/>
      <c r="G159" s="187"/>
      <c r="H159" s="201"/>
      <c r="I159" s="202"/>
      <c r="J159" s="203"/>
      <c r="K159" s="204"/>
      <c r="L159" s="228"/>
      <c r="M159" s="228"/>
      <c r="N159" s="228"/>
      <c r="O159" s="188"/>
      <c r="P159" s="188"/>
      <c r="Q159" s="189"/>
      <c r="R159" s="187"/>
      <c r="S159" s="192"/>
      <c r="T159" s="192"/>
      <c r="U159" s="188"/>
      <c r="V159" s="189"/>
    </row>
    <row r="160" spans="1:22" ht="30" customHeight="1">
      <c r="B160" s="180"/>
    </row>
  </sheetData>
  <mergeCells count="60">
    <mergeCell ref="C3:E3"/>
    <mergeCell ref="H3:K3"/>
    <mergeCell ref="N3:Q3"/>
    <mergeCell ref="S3:V3"/>
    <mergeCell ref="J8:K8"/>
    <mergeCell ref="B4:E5"/>
    <mergeCell ref="N4:Q5"/>
    <mergeCell ref="S4:V5"/>
    <mergeCell ref="H4:K5"/>
    <mergeCell ref="N25:Q25"/>
    <mergeCell ref="B32:E32"/>
    <mergeCell ref="H32:K32"/>
    <mergeCell ref="N32:Q32"/>
    <mergeCell ref="B37:E37"/>
    <mergeCell ref="B33:E34"/>
    <mergeCell ref="N33:Q34"/>
    <mergeCell ref="H33:K34"/>
    <mergeCell ref="C49:D49"/>
    <mergeCell ref="C50:D50"/>
    <mergeCell ref="B56:E56"/>
    <mergeCell ref="H56:K56"/>
    <mergeCell ref="N56:Q56"/>
    <mergeCell ref="B57:E58"/>
    <mergeCell ref="N57:Q58"/>
    <mergeCell ref="B105:E106"/>
    <mergeCell ref="N105:Q106"/>
    <mergeCell ref="B82:E83"/>
    <mergeCell ref="N82:Q83"/>
    <mergeCell ref="H82:K83"/>
    <mergeCell ref="H105:K106"/>
    <mergeCell ref="B104:E104"/>
    <mergeCell ref="H104:K104"/>
    <mergeCell ref="N104:Q104"/>
    <mergeCell ref="I71:J71"/>
    <mergeCell ref="C76:D76"/>
    <mergeCell ref="B81:E81"/>
    <mergeCell ref="H81:K81"/>
    <mergeCell ref="N81:Q81"/>
    <mergeCell ref="I144:J144"/>
    <mergeCell ref="H145:J146"/>
    <mergeCell ref="L149:N150"/>
    <mergeCell ref="L151:N151"/>
    <mergeCell ref="H57:K58"/>
    <mergeCell ref="N129:Q129"/>
    <mergeCell ref="N130:Q131"/>
    <mergeCell ref="H72:J73"/>
    <mergeCell ref="H148:K148"/>
    <mergeCell ref="H149:K150"/>
    <mergeCell ref="L159:N159"/>
    <mergeCell ref="L152:N152"/>
    <mergeCell ref="L153:N153"/>
    <mergeCell ref="L154:N154"/>
    <mergeCell ref="L155:N155"/>
    <mergeCell ref="L156:N156"/>
    <mergeCell ref="B148:E148"/>
    <mergeCell ref="B149:E150"/>
    <mergeCell ref="C157:C158"/>
    <mergeCell ref="B157:B158"/>
    <mergeCell ref="L157:N157"/>
    <mergeCell ref="L158:N158"/>
  </mergeCells>
  <phoneticPr fontId="12" type="noConversion"/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5"/>
  <sheetViews>
    <sheetView topLeftCell="A19" zoomScale="106" zoomScaleNormal="106" workbookViewId="0">
      <pane xSplit="1" topLeftCell="B1" activePane="topRight" state="frozen"/>
      <selection pane="topRight" activeCell="J20" sqref="J20"/>
    </sheetView>
  </sheetViews>
  <sheetFormatPr defaultColWidth="9.140625" defaultRowHeight="16.5"/>
  <cols>
    <col min="1" max="1" width="8.28515625" style="41" customWidth="1"/>
    <col min="2" max="2" width="28.7109375" style="10" customWidth="1"/>
    <col min="3" max="3" width="19.28515625" style="10" customWidth="1"/>
    <col min="4" max="4" width="18" style="42" customWidth="1"/>
    <col min="5" max="5" width="19.7109375" style="11" customWidth="1"/>
    <col min="6" max="6" width="15.85546875" style="43" customWidth="1"/>
    <col min="7" max="8" width="18.28515625" style="42" customWidth="1"/>
    <col min="9" max="9" width="19.5703125" style="10" customWidth="1"/>
    <col min="10" max="10" width="14.42578125" style="10" customWidth="1"/>
    <col min="11" max="11" width="19.85546875" style="11" customWidth="1"/>
    <col min="12" max="12" width="28.140625" style="10" customWidth="1"/>
    <col min="13" max="16384" width="9.140625" style="10"/>
  </cols>
  <sheetData>
    <row r="1" spans="1:12">
      <c r="A1" s="294" t="s">
        <v>58</v>
      </c>
      <c r="B1" s="294"/>
      <c r="C1" s="294"/>
      <c r="D1" s="294"/>
      <c r="E1" s="294"/>
      <c r="F1" s="294"/>
      <c r="G1" s="294"/>
      <c r="H1" s="294"/>
      <c r="I1" s="294"/>
      <c r="J1" s="294"/>
    </row>
    <row r="3" spans="1:12" s="41" customFormat="1" ht="52.5" customHeight="1">
      <c r="A3" s="44" t="s">
        <v>15</v>
      </c>
      <c r="B3" s="44" t="s">
        <v>59</v>
      </c>
      <c r="C3" s="44" t="s">
        <v>60</v>
      </c>
      <c r="D3" s="45" t="s">
        <v>61</v>
      </c>
      <c r="E3" s="45" t="s">
        <v>62</v>
      </c>
      <c r="F3" s="295" t="s">
        <v>63</v>
      </c>
      <c r="G3" s="296"/>
      <c r="H3" s="46" t="s">
        <v>64</v>
      </c>
      <c r="I3" s="44" t="s">
        <v>65</v>
      </c>
      <c r="J3" s="47" t="s">
        <v>66</v>
      </c>
      <c r="K3" s="48" t="s">
        <v>67</v>
      </c>
      <c r="L3" s="49"/>
    </row>
    <row r="4" spans="1:12">
      <c r="A4" s="49">
        <v>1</v>
      </c>
      <c r="B4" s="14" t="s">
        <v>68</v>
      </c>
      <c r="C4" s="14" t="s">
        <v>69</v>
      </c>
      <c r="D4" s="50">
        <v>4000000</v>
      </c>
      <c r="E4" s="15">
        <f>10%*D4</f>
        <v>400000</v>
      </c>
      <c r="F4" s="22">
        <v>0</v>
      </c>
      <c r="G4" s="51"/>
      <c r="H4" s="51"/>
      <c r="I4" s="14" t="s">
        <v>70</v>
      </c>
      <c r="J4" s="14" t="s">
        <v>71</v>
      </c>
      <c r="K4" s="15">
        <v>200000</v>
      </c>
      <c r="L4" s="14"/>
    </row>
    <row r="5" spans="1:12">
      <c r="A5" s="49">
        <v>2</v>
      </c>
      <c r="B5" s="14" t="s">
        <v>72</v>
      </c>
      <c r="C5" s="14" t="s">
        <v>73</v>
      </c>
      <c r="D5" s="50">
        <v>2100000</v>
      </c>
      <c r="E5" s="15">
        <v>0</v>
      </c>
      <c r="F5" s="22">
        <v>0</v>
      </c>
      <c r="G5" s="51"/>
      <c r="H5" s="51"/>
      <c r="I5" s="14" t="s">
        <v>70</v>
      </c>
      <c r="J5" s="14" t="s">
        <v>71</v>
      </c>
      <c r="K5" s="15">
        <v>0</v>
      </c>
      <c r="L5" s="14"/>
    </row>
    <row r="6" spans="1:12">
      <c r="A6" s="49">
        <v>3</v>
      </c>
      <c r="B6" s="14" t="s">
        <v>74</v>
      </c>
      <c r="C6" s="148" t="s">
        <v>75</v>
      </c>
      <c r="D6" s="50">
        <v>2500000</v>
      </c>
      <c r="E6" s="15">
        <f>10%*D6</f>
        <v>250000</v>
      </c>
      <c r="F6" s="22">
        <v>0</v>
      </c>
      <c r="G6" s="51"/>
      <c r="H6" s="51"/>
      <c r="I6" s="14" t="s">
        <v>70</v>
      </c>
      <c r="J6" s="14" t="s">
        <v>71</v>
      </c>
      <c r="K6" s="15">
        <v>225000</v>
      </c>
      <c r="L6" s="14"/>
    </row>
    <row r="7" spans="1:12">
      <c r="A7" s="49">
        <v>4</v>
      </c>
      <c r="B7" s="14" t="s">
        <v>76</v>
      </c>
      <c r="C7" s="14" t="s">
        <v>73</v>
      </c>
      <c r="D7" s="50">
        <v>3000000</v>
      </c>
      <c r="E7" s="15">
        <f>10%*D7</f>
        <v>300000</v>
      </c>
      <c r="F7" s="22">
        <v>0</v>
      </c>
      <c r="G7" s="51"/>
      <c r="H7" s="51"/>
      <c r="I7" s="14" t="s">
        <v>70</v>
      </c>
      <c r="J7" s="14" t="s">
        <v>71</v>
      </c>
      <c r="K7" s="15">
        <v>270000</v>
      </c>
      <c r="L7" s="14"/>
    </row>
    <row r="8" spans="1:12">
      <c r="A8" s="49">
        <v>5</v>
      </c>
      <c r="B8" s="14" t="s">
        <v>77</v>
      </c>
      <c r="C8" s="149" t="s">
        <v>39</v>
      </c>
      <c r="D8" s="50">
        <v>3000000</v>
      </c>
      <c r="E8" s="15">
        <f>10%*D8</f>
        <v>300000</v>
      </c>
      <c r="F8" s="22">
        <v>0</v>
      </c>
      <c r="G8" s="51"/>
      <c r="H8" s="51"/>
      <c r="I8" s="14" t="s">
        <v>70</v>
      </c>
      <c r="J8" s="14" t="s">
        <v>71</v>
      </c>
      <c r="K8" s="15">
        <v>200000</v>
      </c>
      <c r="L8" s="14"/>
    </row>
    <row r="9" spans="1:12">
      <c r="A9" s="49">
        <v>6</v>
      </c>
      <c r="B9" s="14" t="s">
        <v>78</v>
      </c>
      <c r="C9" s="149" t="s">
        <v>39</v>
      </c>
      <c r="D9" s="51">
        <v>6000000</v>
      </c>
      <c r="E9" s="15">
        <v>1000000</v>
      </c>
      <c r="F9" s="22" t="s">
        <v>79</v>
      </c>
      <c r="G9" s="51">
        <v>4000000</v>
      </c>
      <c r="H9" s="51">
        <v>3000000</v>
      </c>
      <c r="I9" s="14" t="s">
        <v>80</v>
      </c>
      <c r="J9" s="14" t="s">
        <v>81</v>
      </c>
      <c r="K9" s="15">
        <v>0</v>
      </c>
      <c r="L9" s="14" t="s">
        <v>82</v>
      </c>
    </row>
    <row r="10" spans="1:12">
      <c r="A10" s="49">
        <v>7</v>
      </c>
      <c r="B10" s="14" t="s">
        <v>83</v>
      </c>
      <c r="C10" s="149" t="s">
        <v>46</v>
      </c>
      <c r="D10" s="50">
        <v>1500000</v>
      </c>
      <c r="E10" s="15">
        <f>5%*D10</f>
        <v>75000</v>
      </c>
      <c r="F10" s="22">
        <v>0</v>
      </c>
      <c r="G10" s="51"/>
      <c r="H10" s="51"/>
      <c r="I10" s="14" t="s">
        <v>70</v>
      </c>
      <c r="J10" s="14" t="s">
        <v>84</v>
      </c>
      <c r="K10" s="15">
        <v>60000</v>
      </c>
      <c r="L10" s="14"/>
    </row>
    <row r="11" spans="1:12">
      <c r="A11" s="49">
        <v>8</v>
      </c>
      <c r="B11" s="14" t="s">
        <v>85</v>
      </c>
      <c r="C11" s="149" t="s">
        <v>46</v>
      </c>
      <c r="D11" s="50">
        <v>500000</v>
      </c>
      <c r="E11" s="15">
        <v>50000</v>
      </c>
      <c r="F11" s="22">
        <v>0</v>
      </c>
      <c r="G11" s="51"/>
      <c r="H11" s="51"/>
      <c r="I11" s="14" t="s">
        <v>70</v>
      </c>
      <c r="J11" s="14" t="s">
        <v>71</v>
      </c>
      <c r="K11" s="15">
        <v>40000</v>
      </c>
      <c r="L11" s="14"/>
    </row>
    <row r="12" spans="1:12">
      <c r="A12" s="49">
        <v>9</v>
      </c>
      <c r="B12" s="14" t="s">
        <v>86</v>
      </c>
      <c r="C12" s="149" t="s">
        <v>46</v>
      </c>
      <c r="D12" s="50">
        <v>1000000</v>
      </c>
      <c r="E12" s="15">
        <v>100000</v>
      </c>
      <c r="F12" s="22">
        <v>0</v>
      </c>
      <c r="G12" s="51"/>
      <c r="H12" s="51"/>
      <c r="I12" s="14" t="s">
        <v>70</v>
      </c>
      <c r="J12" s="14" t="s">
        <v>71</v>
      </c>
      <c r="K12" s="15">
        <v>0</v>
      </c>
      <c r="L12" s="14"/>
    </row>
    <row r="13" spans="1:12">
      <c r="A13" s="49">
        <v>10</v>
      </c>
      <c r="B13" s="14" t="s">
        <v>87</v>
      </c>
      <c r="C13" s="14" t="s">
        <v>73</v>
      </c>
      <c r="D13" s="50">
        <v>1000000</v>
      </c>
      <c r="E13" s="15">
        <v>100000</v>
      </c>
      <c r="F13" s="22">
        <v>0</v>
      </c>
      <c r="G13" s="51"/>
      <c r="H13" s="51"/>
      <c r="I13" s="14" t="s">
        <v>70</v>
      </c>
      <c r="J13" s="14" t="s">
        <v>71</v>
      </c>
      <c r="K13" s="15">
        <v>100000</v>
      </c>
      <c r="L13" s="14"/>
    </row>
    <row r="14" spans="1:12">
      <c r="A14" s="49">
        <v>11</v>
      </c>
      <c r="B14" s="14" t="s">
        <v>88</v>
      </c>
      <c r="C14" s="14" t="s">
        <v>73</v>
      </c>
      <c r="D14" s="50">
        <v>8000000</v>
      </c>
      <c r="E14" s="15">
        <v>1000000</v>
      </c>
      <c r="F14" s="22">
        <v>0</v>
      </c>
      <c r="G14" s="51"/>
      <c r="H14" s="51"/>
      <c r="I14" s="14" t="s">
        <v>70</v>
      </c>
      <c r="J14" s="14" t="s">
        <v>71</v>
      </c>
      <c r="K14" s="15">
        <v>1000000</v>
      </c>
      <c r="L14" s="14"/>
    </row>
    <row r="15" spans="1:12">
      <c r="A15" s="49">
        <v>12</v>
      </c>
      <c r="B15" s="14" t="s">
        <v>89</v>
      </c>
      <c r="C15" s="149" t="s">
        <v>90</v>
      </c>
      <c r="D15" s="50">
        <v>3000000</v>
      </c>
      <c r="E15" s="15">
        <v>300000</v>
      </c>
      <c r="F15" s="22">
        <v>0</v>
      </c>
      <c r="G15" s="51"/>
      <c r="H15" s="51"/>
      <c r="I15" s="14" t="s">
        <v>70</v>
      </c>
      <c r="J15" s="14" t="s">
        <v>71</v>
      </c>
      <c r="K15" s="15">
        <v>300000</v>
      </c>
      <c r="L15" s="14"/>
    </row>
    <row r="16" spans="1:12">
      <c r="A16" s="49">
        <v>13</v>
      </c>
      <c r="B16" s="14" t="s">
        <v>91</v>
      </c>
      <c r="C16" s="14" t="s">
        <v>90</v>
      </c>
      <c r="D16" s="50">
        <v>2000000</v>
      </c>
      <c r="E16" s="15">
        <v>100000</v>
      </c>
      <c r="F16" s="22">
        <v>0</v>
      </c>
      <c r="G16" s="51"/>
      <c r="H16" s="51"/>
      <c r="I16" s="14" t="s">
        <v>70</v>
      </c>
      <c r="J16" s="14" t="s">
        <v>71</v>
      </c>
      <c r="K16" s="15">
        <v>100000</v>
      </c>
      <c r="L16" s="14"/>
    </row>
    <row r="17" spans="1:12">
      <c r="A17" s="49">
        <v>14</v>
      </c>
      <c r="B17" s="14" t="s">
        <v>85</v>
      </c>
      <c r="C17" s="14" t="s">
        <v>90</v>
      </c>
      <c r="D17" s="50">
        <v>2000000</v>
      </c>
      <c r="E17" s="15">
        <v>200000</v>
      </c>
      <c r="F17" s="22">
        <v>0</v>
      </c>
      <c r="G17" s="51"/>
      <c r="H17" s="51"/>
      <c r="I17" s="14" t="s">
        <v>70</v>
      </c>
      <c r="J17" s="14" t="s">
        <v>71</v>
      </c>
      <c r="K17" s="15">
        <v>200000</v>
      </c>
      <c r="L17" s="14"/>
    </row>
    <row r="18" spans="1:12">
      <c r="A18" s="49">
        <v>15</v>
      </c>
      <c r="B18" s="14" t="s">
        <v>92</v>
      </c>
      <c r="C18" s="149" t="s">
        <v>93</v>
      </c>
      <c r="D18" s="51">
        <v>5000000</v>
      </c>
      <c r="E18" s="15">
        <v>500000</v>
      </c>
      <c r="F18" s="52" t="s">
        <v>94</v>
      </c>
      <c r="G18" s="53">
        <v>1100000</v>
      </c>
      <c r="H18" s="53">
        <v>1000000</v>
      </c>
      <c r="I18" s="14" t="s">
        <v>80</v>
      </c>
      <c r="J18" s="14" t="s">
        <v>71</v>
      </c>
      <c r="K18" s="15">
        <v>400000</v>
      </c>
      <c r="L18" s="14"/>
    </row>
    <row r="19" spans="1:12">
      <c r="A19" s="49">
        <v>16</v>
      </c>
      <c r="B19" s="14" t="s">
        <v>74</v>
      </c>
      <c r="C19" s="149" t="s">
        <v>95</v>
      </c>
      <c r="D19" s="51">
        <v>2500000</v>
      </c>
      <c r="E19" s="15">
        <v>250000</v>
      </c>
      <c r="F19" s="54" t="s">
        <v>96</v>
      </c>
      <c r="G19" s="55">
        <v>550000</v>
      </c>
      <c r="H19" s="55">
        <v>500000</v>
      </c>
      <c r="I19" s="14" t="s">
        <v>80</v>
      </c>
      <c r="J19" s="14" t="s">
        <v>71</v>
      </c>
      <c r="K19" s="15">
        <v>125000</v>
      </c>
      <c r="L19" s="14"/>
    </row>
    <row r="20" spans="1:12">
      <c r="A20" s="49">
        <v>17</v>
      </c>
      <c r="B20" s="14" t="s">
        <v>97</v>
      </c>
      <c r="C20" s="148" t="s">
        <v>95</v>
      </c>
      <c r="D20" s="51">
        <v>2000000</v>
      </c>
      <c r="E20" s="15">
        <v>100000</v>
      </c>
      <c r="F20" s="22" t="s">
        <v>98</v>
      </c>
      <c r="G20" s="51">
        <v>600000</v>
      </c>
      <c r="H20" s="51">
        <v>1170000</v>
      </c>
      <c r="I20" s="14" t="s">
        <v>80</v>
      </c>
      <c r="J20" s="14" t="s">
        <v>71</v>
      </c>
      <c r="K20" s="15">
        <v>0</v>
      </c>
      <c r="L20" s="14" t="s">
        <v>82</v>
      </c>
    </row>
    <row r="21" spans="1:12">
      <c r="A21" s="49">
        <v>18</v>
      </c>
      <c r="B21" s="14" t="s">
        <v>99</v>
      </c>
      <c r="C21" s="149" t="s">
        <v>5</v>
      </c>
      <c r="D21" s="51">
        <v>1500000</v>
      </c>
      <c r="E21" s="15">
        <v>150000</v>
      </c>
      <c r="F21" s="22" t="s">
        <v>100</v>
      </c>
      <c r="G21" s="51">
        <v>1300000</v>
      </c>
      <c r="H21" s="51">
        <v>1300000</v>
      </c>
      <c r="I21" s="14" t="s">
        <v>80</v>
      </c>
      <c r="J21" s="14" t="s">
        <v>81</v>
      </c>
      <c r="K21" s="15">
        <v>0</v>
      </c>
      <c r="L21" s="14" t="s">
        <v>82</v>
      </c>
    </row>
    <row r="22" spans="1:12">
      <c r="A22" s="49">
        <v>19</v>
      </c>
      <c r="B22" s="14" t="s">
        <v>101</v>
      </c>
      <c r="C22" s="149" t="s">
        <v>46</v>
      </c>
      <c r="D22" s="51">
        <v>2000000</v>
      </c>
      <c r="E22" s="15">
        <v>100000</v>
      </c>
      <c r="F22" s="22" t="s">
        <v>102</v>
      </c>
      <c r="G22" s="51">
        <v>2000000</v>
      </c>
      <c r="H22" s="51">
        <v>2000000</v>
      </c>
      <c r="I22" s="14" t="s">
        <v>80</v>
      </c>
      <c r="J22" s="14" t="s">
        <v>71</v>
      </c>
      <c r="K22" s="15">
        <v>0</v>
      </c>
      <c r="L22" s="14" t="s">
        <v>82</v>
      </c>
    </row>
    <row r="23" spans="1:12">
      <c r="A23" s="49">
        <v>20</v>
      </c>
      <c r="B23" s="14" t="s">
        <v>83</v>
      </c>
      <c r="C23" s="149" t="s">
        <v>8</v>
      </c>
      <c r="D23" s="51">
        <v>8000000</v>
      </c>
      <c r="E23" s="15">
        <v>500000</v>
      </c>
      <c r="F23" s="22" t="s">
        <v>103</v>
      </c>
      <c r="G23" s="51">
        <v>6800000</v>
      </c>
      <c r="H23" s="51">
        <v>6200000</v>
      </c>
      <c r="I23" s="14" t="s">
        <v>80</v>
      </c>
      <c r="J23" s="14" t="s">
        <v>71</v>
      </c>
      <c r="K23" s="15">
        <v>100000</v>
      </c>
      <c r="L23" s="14"/>
    </row>
    <row r="24" spans="1:12">
      <c r="A24" s="49">
        <v>21</v>
      </c>
      <c r="B24" s="14" t="s">
        <v>76</v>
      </c>
      <c r="C24" s="149" t="s">
        <v>104</v>
      </c>
      <c r="D24" s="51">
        <v>3000000</v>
      </c>
      <c r="E24" s="15">
        <v>300000</v>
      </c>
      <c r="F24" s="22" t="s">
        <v>105</v>
      </c>
      <c r="G24" s="51">
        <v>1980000</v>
      </c>
      <c r="H24" s="51">
        <v>1800000</v>
      </c>
      <c r="I24" s="14" t="s">
        <v>80</v>
      </c>
      <c r="J24" s="14" t="s">
        <v>71</v>
      </c>
      <c r="K24" s="15">
        <v>120000</v>
      </c>
      <c r="L24" s="14"/>
    </row>
    <row r="25" spans="1:12">
      <c r="A25" s="49">
        <v>22</v>
      </c>
      <c r="B25" s="14" t="s">
        <v>89</v>
      </c>
      <c r="C25" s="14" t="s">
        <v>104</v>
      </c>
      <c r="D25" s="51">
        <v>6300000</v>
      </c>
      <c r="E25" s="15">
        <v>700000</v>
      </c>
      <c r="F25" s="22" t="s">
        <v>106</v>
      </c>
      <c r="G25" s="51">
        <v>4450000</v>
      </c>
      <c r="H25" s="51">
        <v>4450000</v>
      </c>
      <c r="I25" s="14" t="s">
        <v>80</v>
      </c>
      <c r="J25" s="14" t="s">
        <v>71</v>
      </c>
      <c r="K25" s="15">
        <v>150000</v>
      </c>
      <c r="L25" s="14"/>
    </row>
    <row r="26" spans="1:12">
      <c r="A26" s="49">
        <v>23</v>
      </c>
      <c r="B26" s="14" t="s">
        <v>107</v>
      </c>
      <c r="C26" s="149" t="s">
        <v>39</v>
      </c>
      <c r="D26" s="51">
        <v>1500000</v>
      </c>
      <c r="E26" s="15">
        <v>150000</v>
      </c>
      <c r="F26" s="22" t="s">
        <v>108</v>
      </c>
      <c r="G26" s="51">
        <v>1500000</v>
      </c>
      <c r="H26" s="51">
        <v>1250000</v>
      </c>
      <c r="I26" s="14" t="s">
        <v>80</v>
      </c>
      <c r="J26" s="14" t="s">
        <v>71</v>
      </c>
      <c r="K26" s="15">
        <v>0</v>
      </c>
      <c r="L26" s="14" t="s">
        <v>82</v>
      </c>
    </row>
    <row r="27" spans="1:12">
      <c r="A27" s="49">
        <v>24</v>
      </c>
      <c r="B27" s="14" t="s">
        <v>91</v>
      </c>
      <c r="C27" s="148" t="s">
        <v>39</v>
      </c>
      <c r="D27" s="51">
        <v>2000000</v>
      </c>
      <c r="E27" s="15">
        <v>200000</v>
      </c>
      <c r="F27" s="22" t="s">
        <v>109</v>
      </c>
      <c r="G27" s="51">
        <v>2250000</v>
      </c>
      <c r="H27" s="51">
        <v>1800000</v>
      </c>
      <c r="I27" s="14" t="s">
        <v>80</v>
      </c>
      <c r="J27" s="14" t="s">
        <v>71</v>
      </c>
      <c r="K27" s="15">
        <v>0</v>
      </c>
      <c r="L27" s="14" t="s">
        <v>82</v>
      </c>
    </row>
    <row r="28" spans="1:12">
      <c r="A28" s="49">
        <v>25</v>
      </c>
      <c r="B28" s="14" t="s">
        <v>77</v>
      </c>
      <c r="C28" s="148" t="s">
        <v>39</v>
      </c>
      <c r="D28" s="51">
        <v>1000000</v>
      </c>
      <c r="E28" s="15">
        <v>100000</v>
      </c>
      <c r="F28" s="56">
        <v>450000</v>
      </c>
      <c r="G28" s="51">
        <v>450000</v>
      </c>
      <c r="H28" s="51">
        <v>350000</v>
      </c>
      <c r="I28" s="14" t="s">
        <v>80</v>
      </c>
      <c r="J28" s="14" t="s">
        <v>71</v>
      </c>
      <c r="K28" s="15">
        <v>0</v>
      </c>
      <c r="L28" s="14" t="s">
        <v>82</v>
      </c>
    </row>
    <row r="29" spans="1:12">
      <c r="A29" s="49">
        <v>26</v>
      </c>
      <c r="B29" s="14" t="s">
        <v>85</v>
      </c>
      <c r="C29" s="149" t="s">
        <v>39</v>
      </c>
      <c r="D29" s="51">
        <v>2000000</v>
      </c>
      <c r="E29" s="15">
        <v>200000</v>
      </c>
      <c r="F29" s="22" t="s">
        <v>110</v>
      </c>
      <c r="G29" s="51">
        <v>1760000</v>
      </c>
      <c r="H29" s="51">
        <v>1720000</v>
      </c>
      <c r="I29" s="14" t="s">
        <v>80</v>
      </c>
      <c r="J29" s="14" t="s">
        <v>71</v>
      </c>
      <c r="K29" s="15">
        <v>40000</v>
      </c>
      <c r="L29" s="14"/>
    </row>
    <row r="30" spans="1:12">
      <c r="A30" s="49">
        <v>27</v>
      </c>
      <c r="B30" s="14" t="s">
        <v>111</v>
      </c>
      <c r="C30" s="14" t="s">
        <v>112</v>
      </c>
      <c r="D30" s="51">
        <v>4000000</v>
      </c>
      <c r="E30" s="15">
        <v>400000</v>
      </c>
      <c r="F30" s="22" t="s">
        <v>113</v>
      </c>
      <c r="G30" s="51">
        <v>4400000</v>
      </c>
      <c r="H30" s="51">
        <v>4000000</v>
      </c>
      <c r="I30" s="14" t="s">
        <v>80</v>
      </c>
      <c r="J30" s="14" t="s">
        <v>71</v>
      </c>
      <c r="K30" s="15">
        <v>0</v>
      </c>
      <c r="L30" s="14" t="s">
        <v>82</v>
      </c>
    </row>
    <row r="31" spans="1:12" ht="26.25" customHeight="1">
      <c r="A31" s="49"/>
      <c r="B31" s="14"/>
      <c r="C31" s="14"/>
      <c r="D31" s="51">
        <f>SUM(D18:D30)</f>
        <v>40800000</v>
      </c>
      <c r="E31" s="15"/>
      <c r="F31" s="22"/>
      <c r="G31" s="51">
        <f>SUM(G4:G30)</f>
        <v>33140000</v>
      </c>
      <c r="H31" s="51">
        <f>SUM(H4:H30)</f>
        <v>30540000</v>
      </c>
      <c r="I31" s="14"/>
      <c r="J31" s="14"/>
      <c r="K31" s="57">
        <f>SUM(K4:K30)</f>
        <v>3630000</v>
      </c>
      <c r="L31" s="14"/>
    </row>
    <row r="32" spans="1:12">
      <c r="A32" s="49"/>
      <c r="B32" s="14"/>
      <c r="C32" s="14"/>
      <c r="D32" s="51"/>
      <c r="E32" s="15"/>
      <c r="F32" s="22"/>
      <c r="G32" s="51"/>
      <c r="H32" s="51"/>
      <c r="I32" s="14"/>
      <c r="J32" s="14"/>
      <c r="K32" s="15"/>
      <c r="L32" s="14"/>
    </row>
    <row r="33" spans="1:12">
      <c r="A33" s="49"/>
      <c r="B33" s="14"/>
      <c r="C33" s="14"/>
      <c r="D33" s="51"/>
      <c r="E33" s="15"/>
      <c r="F33" s="22"/>
      <c r="G33" s="51"/>
      <c r="H33" s="51"/>
      <c r="I33" s="14"/>
      <c r="J33" s="14"/>
      <c r="K33" s="15"/>
      <c r="L33" s="14"/>
    </row>
    <row r="34" spans="1:12">
      <c r="A34" s="49"/>
      <c r="B34" s="14"/>
      <c r="C34" s="14"/>
      <c r="D34" s="51"/>
      <c r="E34" s="15"/>
      <c r="F34" s="22"/>
      <c r="G34" s="51"/>
      <c r="H34" s="51"/>
      <c r="I34" s="14"/>
      <c r="J34" s="14"/>
      <c r="K34" s="15"/>
      <c r="L34" s="14"/>
    </row>
    <row r="35" spans="1:12">
      <c r="A35" s="49"/>
      <c r="B35" s="14"/>
      <c r="C35" s="14"/>
      <c r="D35" s="51"/>
      <c r="E35" s="15"/>
      <c r="F35" s="22"/>
      <c r="G35" s="51"/>
      <c r="H35" s="51"/>
      <c r="I35" s="14"/>
      <c r="J35" s="14"/>
      <c r="K35" s="15"/>
      <c r="L35" s="14"/>
    </row>
  </sheetData>
  <mergeCells count="2">
    <mergeCell ref="A1:J1"/>
    <mergeCell ref="F3:G3"/>
  </mergeCells>
  <hyperlinks>
    <hyperlink ref="F18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3"/>
  <sheetViews>
    <sheetView zoomScale="60" zoomScaleNormal="60" workbookViewId="0">
      <selection activeCell="M19" sqref="M19"/>
    </sheetView>
  </sheetViews>
  <sheetFormatPr defaultColWidth="9.140625" defaultRowHeight="16.5"/>
  <cols>
    <col min="1" max="1" width="4.140625" style="19" customWidth="1"/>
    <col min="2" max="2" width="41.85546875" style="19" customWidth="1"/>
    <col min="3" max="3" width="23" style="20" customWidth="1"/>
    <col min="4" max="4" width="9.140625" style="19"/>
    <col min="5" max="5" width="5.5703125" style="19" customWidth="1"/>
    <col min="6" max="6" width="4.140625" style="19" customWidth="1"/>
    <col min="7" max="7" width="41.85546875" style="19" customWidth="1"/>
    <col min="8" max="8" width="23" style="20" customWidth="1"/>
    <col min="9" max="9" width="9.140625" style="19"/>
    <col min="10" max="10" width="5.5703125" style="19" customWidth="1"/>
    <col min="11" max="11" width="4.140625" style="19" customWidth="1"/>
    <col min="12" max="12" width="41.85546875" style="19" customWidth="1"/>
    <col min="13" max="13" width="18.5703125" style="20" customWidth="1"/>
    <col min="14" max="14" width="6.42578125" style="19" customWidth="1"/>
    <col min="15" max="16384" width="9.140625" style="19"/>
  </cols>
  <sheetData>
    <row r="1" spans="1:14">
      <c r="A1" s="29"/>
      <c r="B1" s="30"/>
      <c r="C1" s="31"/>
      <c r="D1" s="32"/>
      <c r="F1" s="29"/>
      <c r="G1" s="30"/>
      <c r="H1" s="31"/>
      <c r="I1" s="32"/>
      <c r="K1" s="29"/>
      <c r="L1" s="30"/>
      <c r="M1" s="31"/>
      <c r="N1" s="32"/>
    </row>
    <row r="2" spans="1:14">
      <c r="A2" s="33"/>
      <c r="B2" s="299" t="s">
        <v>0</v>
      </c>
      <c r="C2" s="299"/>
      <c r="D2" s="34"/>
      <c r="F2" s="33"/>
      <c r="G2" s="299" t="s">
        <v>0</v>
      </c>
      <c r="H2" s="299"/>
      <c r="I2" s="34"/>
      <c r="K2" s="33"/>
      <c r="L2" s="299" t="s">
        <v>0</v>
      </c>
      <c r="M2" s="299"/>
      <c r="N2" s="34"/>
    </row>
    <row r="3" spans="1:14">
      <c r="A3" s="33"/>
      <c r="B3" s="299" t="s">
        <v>114</v>
      </c>
      <c r="C3" s="299"/>
      <c r="D3" s="34"/>
      <c r="F3" s="33"/>
      <c r="G3" s="299" t="s">
        <v>114</v>
      </c>
      <c r="H3" s="299"/>
      <c r="I3" s="34"/>
      <c r="K3" s="33"/>
      <c r="L3" s="299"/>
      <c r="M3" s="299"/>
      <c r="N3" s="34"/>
    </row>
    <row r="4" spans="1:14">
      <c r="A4" s="33"/>
      <c r="B4" s="297"/>
      <c r="C4" s="297"/>
      <c r="D4" s="34"/>
      <c r="F4" s="33"/>
      <c r="G4" s="297"/>
      <c r="H4" s="297"/>
      <c r="I4" s="34"/>
      <c r="K4" s="33"/>
      <c r="L4" s="298" t="s">
        <v>2</v>
      </c>
      <c r="M4" s="298"/>
      <c r="N4" s="34"/>
    </row>
    <row r="5" spans="1:14">
      <c r="A5" s="33"/>
      <c r="B5" s="298" t="s">
        <v>55</v>
      </c>
      <c r="C5" s="298"/>
      <c r="D5" s="34"/>
      <c r="F5" s="33"/>
      <c r="G5" s="298" t="s">
        <v>3</v>
      </c>
      <c r="H5" s="298"/>
      <c r="I5" s="34"/>
      <c r="K5" s="33"/>
      <c r="N5" s="34"/>
    </row>
    <row r="6" spans="1:14">
      <c r="A6" s="33"/>
      <c r="D6" s="34"/>
      <c r="F6" s="33"/>
      <c r="I6" s="34"/>
      <c r="K6" s="33"/>
      <c r="L6" s="19" t="s">
        <v>115</v>
      </c>
      <c r="M6" s="20">
        <v>3500000</v>
      </c>
      <c r="N6" s="34"/>
    </row>
    <row r="7" spans="1:14">
      <c r="A7" s="33"/>
      <c r="B7" s="19" t="s">
        <v>116</v>
      </c>
      <c r="C7" s="20">
        <v>3100000</v>
      </c>
      <c r="D7" s="34"/>
      <c r="F7" s="33"/>
      <c r="G7" s="19" t="s">
        <v>116</v>
      </c>
      <c r="H7" s="20">
        <v>3100000</v>
      </c>
      <c r="I7" s="34"/>
      <c r="K7" s="33"/>
      <c r="N7" s="34"/>
    </row>
    <row r="8" spans="1:14">
      <c r="A8" s="33"/>
      <c r="B8" s="19" t="s">
        <v>117</v>
      </c>
      <c r="C8" s="20">
        <v>100000</v>
      </c>
      <c r="D8" s="34"/>
      <c r="F8" s="33"/>
      <c r="G8" s="19" t="s">
        <v>117</v>
      </c>
      <c r="H8" s="20">
        <v>100000</v>
      </c>
      <c r="I8" s="34"/>
      <c r="K8" s="29"/>
      <c r="L8" s="30" t="s">
        <v>9</v>
      </c>
      <c r="M8" s="31">
        <v>3000000</v>
      </c>
      <c r="N8" s="32"/>
    </row>
    <row r="9" spans="1:14">
      <c r="A9" s="33"/>
      <c r="B9" s="19" t="s">
        <v>118</v>
      </c>
      <c r="C9" s="20">
        <v>10000</v>
      </c>
      <c r="D9" s="34"/>
      <c r="F9" s="33"/>
      <c r="G9" s="19" t="s">
        <v>118</v>
      </c>
      <c r="H9" s="20">
        <v>10000</v>
      </c>
      <c r="I9" s="34"/>
      <c r="K9" s="33"/>
      <c r="L9" s="19" t="s">
        <v>10</v>
      </c>
      <c r="M9" s="20">
        <v>300000</v>
      </c>
      <c r="N9" s="34"/>
    </row>
    <row r="10" spans="1:14">
      <c r="A10" s="33"/>
      <c r="D10" s="34"/>
      <c r="F10" s="33"/>
      <c r="I10" s="34"/>
      <c r="K10" s="35"/>
      <c r="L10" s="36" t="s">
        <v>119</v>
      </c>
      <c r="M10" s="37">
        <v>330000</v>
      </c>
      <c r="N10" s="38"/>
    </row>
    <row r="11" spans="1:14">
      <c r="A11" s="33"/>
      <c r="D11" s="34"/>
      <c r="F11" s="33"/>
      <c r="I11" s="34"/>
      <c r="K11" s="33"/>
      <c r="N11" s="34"/>
    </row>
    <row r="12" spans="1:14">
      <c r="A12" s="33"/>
      <c r="B12" s="19" t="s">
        <v>9</v>
      </c>
      <c r="C12" s="20">
        <v>0</v>
      </c>
      <c r="D12" s="34"/>
      <c r="F12" s="33"/>
      <c r="G12" s="19" t="s">
        <v>9</v>
      </c>
      <c r="H12" s="20">
        <v>0</v>
      </c>
      <c r="I12" s="34"/>
      <c r="K12" s="33"/>
      <c r="L12" s="19" t="s">
        <v>120</v>
      </c>
      <c r="M12" s="20">
        <v>330000</v>
      </c>
      <c r="N12" s="34"/>
    </row>
    <row r="13" spans="1:14">
      <c r="A13" s="33"/>
      <c r="B13" s="19" t="s">
        <v>10</v>
      </c>
      <c r="C13" s="20">
        <v>0</v>
      </c>
      <c r="D13" s="34"/>
      <c r="F13" s="33"/>
      <c r="G13" s="19" t="s">
        <v>10</v>
      </c>
      <c r="H13" s="20">
        <v>0</v>
      </c>
      <c r="I13" s="34"/>
      <c r="K13" s="33"/>
      <c r="L13" s="19" t="s">
        <v>121</v>
      </c>
      <c r="M13" s="20">
        <v>660000</v>
      </c>
      <c r="N13" s="34"/>
    </row>
    <row r="14" spans="1:14">
      <c r="A14" s="33"/>
      <c r="B14" s="19" t="s">
        <v>119</v>
      </c>
      <c r="C14" s="20">
        <v>0</v>
      </c>
      <c r="D14" s="34"/>
      <c r="F14" s="33"/>
      <c r="G14" s="19" t="s">
        <v>119</v>
      </c>
      <c r="H14" s="20">
        <v>0</v>
      </c>
      <c r="I14" s="34"/>
      <c r="K14" s="33"/>
      <c r="L14" s="19" t="s">
        <v>122</v>
      </c>
      <c r="M14" s="20">
        <v>100000</v>
      </c>
      <c r="N14" s="34"/>
    </row>
    <row r="15" spans="1:14">
      <c r="A15" s="33"/>
      <c r="B15" s="19" t="s">
        <v>123</v>
      </c>
      <c r="C15" s="20">
        <v>0</v>
      </c>
      <c r="D15" s="34"/>
      <c r="F15" s="33"/>
      <c r="G15" s="19" t="s">
        <v>123</v>
      </c>
      <c r="H15" s="20">
        <v>0</v>
      </c>
      <c r="I15" s="34"/>
      <c r="K15" s="33"/>
      <c r="M15" s="20">
        <f>SUM(M12:M14)</f>
        <v>1090000</v>
      </c>
      <c r="N15" s="34"/>
    </row>
    <row r="16" spans="1:14">
      <c r="A16" s="33"/>
      <c r="B16" s="19" t="s">
        <v>124</v>
      </c>
      <c r="C16" s="20">
        <v>0</v>
      </c>
      <c r="D16" s="34"/>
      <c r="F16" s="33"/>
      <c r="G16" s="19" t="s">
        <v>124</v>
      </c>
      <c r="H16" s="20">
        <v>0</v>
      </c>
      <c r="I16" s="34"/>
      <c r="K16" s="33"/>
      <c r="L16" s="39" t="s">
        <v>125</v>
      </c>
      <c r="M16" s="40">
        <f>M6-M15</f>
        <v>2410000</v>
      </c>
      <c r="N16" s="34"/>
    </row>
    <row r="17" spans="1:14">
      <c r="A17" s="35"/>
      <c r="B17" s="36"/>
      <c r="C17" s="37"/>
      <c r="D17" s="38"/>
      <c r="F17" s="35"/>
      <c r="G17" s="36"/>
      <c r="H17" s="37"/>
      <c r="I17" s="38"/>
      <c r="K17" s="35"/>
      <c r="L17" s="36"/>
      <c r="M17" s="37"/>
      <c r="N17" s="38"/>
    </row>
    <row r="18" spans="1:14" ht="24" customHeight="1"/>
    <row r="19" spans="1:14">
      <c r="A19" s="29"/>
      <c r="B19" s="30"/>
      <c r="C19" s="31"/>
      <c r="D19" s="32"/>
      <c r="F19" s="29"/>
      <c r="G19" s="30"/>
      <c r="H19" s="31"/>
      <c r="I19" s="32"/>
      <c r="K19" s="29"/>
      <c r="L19" s="30"/>
      <c r="M19" s="31"/>
      <c r="N19" s="32"/>
    </row>
    <row r="20" spans="1:14">
      <c r="A20" s="33"/>
      <c r="B20" s="299" t="s">
        <v>0</v>
      </c>
      <c r="C20" s="299"/>
      <c r="D20" s="34"/>
      <c r="F20" s="33"/>
      <c r="G20" s="299" t="s">
        <v>0</v>
      </c>
      <c r="H20" s="299"/>
      <c r="I20" s="34"/>
      <c r="K20" s="33"/>
      <c r="L20" s="299" t="s">
        <v>0</v>
      </c>
      <c r="M20" s="299"/>
      <c r="N20" s="34"/>
    </row>
    <row r="21" spans="1:14">
      <c r="A21" s="33"/>
      <c r="B21" s="299" t="s">
        <v>114</v>
      </c>
      <c r="C21" s="299"/>
      <c r="D21" s="34"/>
      <c r="F21" s="33"/>
      <c r="G21" s="299" t="s">
        <v>114</v>
      </c>
      <c r="H21" s="299"/>
      <c r="I21" s="34"/>
      <c r="K21" s="33"/>
      <c r="L21" s="299" t="s">
        <v>114</v>
      </c>
      <c r="M21" s="299"/>
      <c r="N21" s="34"/>
    </row>
    <row r="22" spans="1:14">
      <c r="A22" s="33"/>
      <c r="B22" s="297"/>
      <c r="C22" s="297"/>
      <c r="D22" s="34"/>
      <c r="F22" s="33"/>
      <c r="G22" s="297"/>
      <c r="H22" s="297"/>
      <c r="I22" s="34"/>
      <c r="K22" s="33"/>
      <c r="L22" s="297"/>
      <c r="M22" s="297"/>
      <c r="N22" s="34"/>
    </row>
    <row r="23" spans="1:14">
      <c r="A23" s="33"/>
      <c r="B23" s="298" t="s">
        <v>126</v>
      </c>
      <c r="C23" s="298"/>
      <c r="D23" s="34"/>
      <c r="F23" s="33"/>
      <c r="G23" s="298" t="s">
        <v>127</v>
      </c>
      <c r="H23" s="298"/>
      <c r="I23" s="34"/>
      <c r="K23" s="33"/>
      <c r="L23" s="298" t="s">
        <v>128</v>
      </c>
      <c r="M23" s="298"/>
      <c r="N23" s="34"/>
    </row>
    <row r="24" spans="1:14">
      <c r="A24" s="33"/>
      <c r="D24" s="34"/>
      <c r="F24" s="33"/>
      <c r="I24" s="34"/>
      <c r="K24" s="33"/>
      <c r="N24" s="34"/>
    </row>
    <row r="25" spans="1:14">
      <c r="A25" s="33"/>
      <c r="B25" s="19" t="s">
        <v>116</v>
      </c>
      <c r="C25" s="20">
        <v>3100000</v>
      </c>
      <c r="D25" s="34"/>
      <c r="F25" s="33"/>
      <c r="G25" s="19" t="s">
        <v>116</v>
      </c>
      <c r="H25" s="20">
        <v>3100000</v>
      </c>
      <c r="I25" s="34"/>
      <c r="K25" s="33"/>
      <c r="L25" s="19" t="s">
        <v>116</v>
      </c>
      <c r="M25" s="20">
        <v>3100000</v>
      </c>
      <c r="N25" s="34"/>
    </row>
    <row r="26" spans="1:14">
      <c r="A26" s="33"/>
      <c r="B26" s="19" t="s">
        <v>117</v>
      </c>
      <c r="C26" s="20">
        <v>100000</v>
      </c>
      <c r="D26" s="34"/>
      <c r="F26" s="33"/>
      <c r="G26" s="19" t="s">
        <v>117</v>
      </c>
      <c r="H26" s="20">
        <v>100000</v>
      </c>
      <c r="I26" s="34"/>
      <c r="K26" s="33"/>
      <c r="L26" s="19" t="s">
        <v>117</v>
      </c>
      <c r="M26" s="20">
        <v>100000</v>
      </c>
      <c r="N26" s="34"/>
    </row>
    <row r="27" spans="1:14">
      <c r="A27" s="33"/>
      <c r="B27" s="19" t="s">
        <v>118</v>
      </c>
      <c r="C27" s="20">
        <v>10000</v>
      </c>
      <c r="D27" s="34"/>
      <c r="F27" s="33"/>
      <c r="G27" s="19" t="s">
        <v>118</v>
      </c>
      <c r="H27" s="20">
        <v>10000</v>
      </c>
      <c r="I27" s="34"/>
      <c r="K27" s="33"/>
      <c r="L27" s="19" t="s">
        <v>118</v>
      </c>
      <c r="M27" s="20">
        <v>10000</v>
      </c>
      <c r="N27" s="34"/>
    </row>
    <row r="28" spans="1:14">
      <c r="A28" s="33"/>
      <c r="D28" s="34"/>
      <c r="F28" s="33"/>
      <c r="I28" s="34"/>
      <c r="K28" s="33"/>
      <c r="N28" s="34"/>
    </row>
    <row r="29" spans="1:14">
      <c r="A29" s="33"/>
      <c r="D29" s="34"/>
      <c r="F29" s="33"/>
      <c r="I29" s="34"/>
      <c r="K29" s="33"/>
      <c r="N29" s="34"/>
    </row>
    <row r="30" spans="1:14">
      <c r="A30" s="33"/>
      <c r="B30" s="19" t="s">
        <v>9</v>
      </c>
      <c r="C30" s="20">
        <v>0</v>
      </c>
      <c r="D30" s="34"/>
      <c r="F30" s="33"/>
      <c r="G30" s="19" t="s">
        <v>9</v>
      </c>
      <c r="H30" s="20">
        <v>0</v>
      </c>
      <c r="I30" s="34"/>
      <c r="K30" s="33"/>
      <c r="L30" s="19" t="s">
        <v>9</v>
      </c>
      <c r="M30" s="20">
        <v>0</v>
      </c>
      <c r="N30" s="34"/>
    </row>
    <row r="31" spans="1:14">
      <c r="A31" s="33"/>
      <c r="B31" s="19" t="s">
        <v>10</v>
      </c>
      <c r="C31" s="20">
        <v>0</v>
      </c>
      <c r="D31" s="34"/>
      <c r="F31" s="33"/>
      <c r="G31" s="19" t="s">
        <v>10</v>
      </c>
      <c r="H31" s="20">
        <v>0</v>
      </c>
      <c r="I31" s="34"/>
      <c r="K31" s="33"/>
      <c r="L31" s="19" t="s">
        <v>10</v>
      </c>
      <c r="M31" s="20">
        <v>0</v>
      </c>
      <c r="N31" s="34"/>
    </row>
    <row r="32" spans="1:14">
      <c r="A32" s="33"/>
      <c r="B32" s="19" t="s">
        <v>119</v>
      </c>
      <c r="C32" s="20">
        <v>0</v>
      </c>
      <c r="D32" s="34"/>
      <c r="F32" s="33"/>
      <c r="G32" s="19" t="s">
        <v>119</v>
      </c>
      <c r="H32" s="20">
        <v>0</v>
      </c>
      <c r="I32" s="34"/>
      <c r="K32" s="33"/>
      <c r="L32" s="19" t="s">
        <v>119</v>
      </c>
      <c r="M32" s="20">
        <v>0</v>
      </c>
      <c r="N32" s="34"/>
    </row>
    <row r="33" spans="1:14">
      <c r="A33" s="33"/>
      <c r="B33" s="19" t="s">
        <v>123</v>
      </c>
      <c r="C33" s="20">
        <v>0</v>
      </c>
      <c r="D33" s="34"/>
      <c r="F33" s="33"/>
      <c r="G33" s="19" t="s">
        <v>123</v>
      </c>
      <c r="H33" s="20">
        <v>0</v>
      </c>
      <c r="I33" s="34"/>
      <c r="K33" s="33"/>
      <c r="L33" s="19" t="s">
        <v>123</v>
      </c>
      <c r="M33" s="20">
        <v>0</v>
      </c>
      <c r="N33" s="34"/>
    </row>
    <row r="34" spans="1:14">
      <c r="A34" s="33"/>
      <c r="B34" s="19" t="s">
        <v>124</v>
      </c>
      <c r="C34" s="20">
        <v>0</v>
      </c>
      <c r="D34" s="34"/>
      <c r="F34" s="33"/>
      <c r="G34" s="19" t="s">
        <v>124</v>
      </c>
      <c r="H34" s="20">
        <v>0</v>
      </c>
      <c r="I34" s="34"/>
      <c r="K34" s="33"/>
      <c r="L34" s="19" t="s">
        <v>124</v>
      </c>
      <c r="M34" s="20">
        <v>0</v>
      </c>
      <c r="N34" s="34"/>
    </row>
    <row r="35" spans="1:14">
      <c r="A35" s="35"/>
      <c r="B35" s="36"/>
      <c r="C35" s="37"/>
      <c r="D35" s="38"/>
      <c r="F35" s="35"/>
      <c r="G35" s="36"/>
      <c r="H35" s="37"/>
      <c r="I35" s="38"/>
      <c r="K35" s="35"/>
      <c r="L35" s="36"/>
      <c r="M35" s="37"/>
      <c r="N35" s="38"/>
    </row>
    <row r="36" spans="1:14" ht="19.5" customHeight="1"/>
    <row r="37" spans="1:14">
      <c r="A37" s="29"/>
      <c r="B37" s="30"/>
      <c r="C37" s="31"/>
      <c r="D37" s="32"/>
      <c r="F37" s="29"/>
      <c r="G37" s="30"/>
      <c r="H37" s="31"/>
      <c r="I37" s="32"/>
      <c r="K37" s="29"/>
      <c r="L37" s="30"/>
      <c r="M37" s="31"/>
      <c r="N37" s="32"/>
    </row>
    <row r="38" spans="1:14">
      <c r="A38" s="33"/>
      <c r="B38" s="299" t="s">
        <v>0</v>
      </c>
      <c r="C38" s="299"/>
      <c r="D38" s="34"/>
      <c r="F38" s="33"/>
      <c r="G38" s="299" t="s">
        <v>0</v>
      </c>
      <c r="H38" s="299"/>
      <c r="I38" s="34"/>
      <c r="K38" s="33"/>
      <c r="L38" s="299" t="s">
        <v>0</v>
      </c>
      <c r="M38" s="299"/>
      <c r="N38" s="34"/>
    </row>
    <row r="39" spans="1:14">
      <c r="A39" s="33"/>
      <c r="B39" s="299" t="s">
        <v>114</v>
      </c>
      <c r="C39" s="299"/>
      <c r="D39" s="34"/>
      <c r="F39" s="33"/>
      <c r="G39" s="299" t="s">
        <v>114</v>
      </c>
      <c r="H39" s="299"/>
      <c r="I39" s="34"/>
      <c r="K39" s="33"/>
      <c r="L39" s="299" t="s">
        <v>114</v>
      </c>
      <c r="M39" s="299"/>
      <c r="N39" s="34"/>
    </row>
    <row r="40" spans="1:14">
      <c r="A40" s="33"/>
      <c r="B40" s="297"/>
      <c r="C40" s="297"/>
      <c r="D40" s="34"/>
      <c r="F40" s="33"/>
      <c r="G40" s="297"/>
      <c r="H40" s="297"/>
      <c r="I40" s="34"/>
      <c r="K40" s="33"/>
      <c r="L40" s="297"/>
      <c r="M40" s="297"/>
      <c r="N40" s="34"/>
    </row>
    <row r="41" spans="1:14">
      <c r="A41" s="33"/>
      <c r="B41" s="298" t="s">
        <v>129</v>
      </c>
      <c r="C41" s="298"/>
      <c r="D41" s="34"/>
      <c r="F41" s="33"/>
      <c r="G41" s="298" t="s">
        <v>130</v>
      </c>
      <c r="H41" s="298"/>
      <c r="I41" s="34"/>
      <c r="K41" s="33"/>
      <c r="L41" s="298" t="s">
        <v>131</v>
      </c>
      <c r="M41" s="298"/>
      <c r="N41" s="34"/>
    </row>
    <row r="42" spans="1:14">
      <c r="A42" s="33"/>
      <c r="D42" s="34"/>
      <c r="F42" s="33"/>
      <c r="I42" s="34"/>
      <c r="K42" s="33"/>
      <c r="N42" s="34"/>
    </row>
    <row r="43" spans="1:14">
      <c r="A43" s="33"/>
      <c r="B43" s="19" t="s">
        <v>116</v>
      </c>
      <c r="C43" s="20">
        <v>3100000</v>
      </c>
      <c r="D43" s="34"/>
      <c r="F43" s="33"/>
      <c r="G43" s="19" t="s">
        <v>116</v>
      </c>
      <c r="H43" s="20">
        <v>3100000</v>
      </c>
      <c r="I43" s="34"/>
      <c r="K43" s="33"/>
      <c r="L43" s="19" t="s">
        <v>116</v>
      </c>
      <c r="M43" s="20">
        <v>3100000</v>
      </c>
      <c r="N43" s="34"/>
    </row>
    <row r="44" spans="1:14">
      <c r="A44" s="33"/>
      <c r="B44" s="19" t="s">
        <v>117</v>
      </c>
      <c r="C44" s="20">
        <v>100000</v>
      </c>
      <c r="D44" s="34"/>
      <c r="F44" s="33"/>
      <c r="G44" s="19" t="s">
        <v>117</v>
      </c>
      <c r="H44" s="20">
        <v>100000</v>
      </c>
      <c r="I44" s="34"/>
      <c r="K44" s="33"/>
      <c r="L44" s="19" t="s">
        <v>117</v>
      </c>
      <c r="M44" s="20">
        <v>100000</v>
      </c>
      <c r="N44" s="34"/>
    </row>
    <row r="45" spans="1:14">
      <c r="A45" s="33"/>
      <c r="B45" s="19" t="s">
        <v>118</v>
      </c>
      <c r="C45" s="20">
        <v>10000</v>
      </c>
      <c r="D45" s="34"/>
      <c r="F45" s="33"/>
      <c r="G45" s="19" t="s">
        <v>118</v>
      </c>
      <c r="H45" s="20">
        <v>10000</v>
      </c>
      <c r="I45" s="34"/>
      <c r="K45" s="33"/>
      <c r="L45" s="19" t="s">
        <v>118</v>
      </c>
      <c r="M45" s="20">
        <v>10000</v>
      </c>
      <c r="N45" s="34"/>
    </row>
    <row r="46" spans="1:14">
      <c r="A46" s="33"/>
      <c r="D46" s="34"/>
      <c r="F46" s="33"/>
      <c r="I46" s="34"/>
      <c r="K46" s="33"/>
      <c r="N46" s="34"/>
    </row>
    <row r="47" spans="1:14">
      <c r="A47" s="33"/>
      <c r="B47" s="19" t="s">
        <v>132</v>
      </c>
      <c r="C47" s="20" t="s">
        <v>69</v>
      </c>
      <c r="D47" s="34"/>
      <c r="F47" s="33"/>
      <c r="G47" s="19" t="s">
        <v>132</v>
      </c>
      <c r="H47" s="20" t="s">
        <v>69</v>
      </c>
      <c r="I47" s="34"/>
      <c r="K47" s="33"/>
      <c r="L47" s="19" t="s">
        <v>132</v>
      </c>
      <c r="M47" s="20" t="s">
        <v>69</v>
      </c>
      <c r="N47" s="34"/>
    </row>
    <row r="48" spans="1:14">
      <c r="A48" s="33"/>
      <c r="B48" s="19" t="s">
        <v>9</v>
      </c>
      <c r="C48" s="20">
        <v>0</v>
      </c>
      <c r="D48" s="34"/>
      <c r="F48" s="33"/>
      <c r="G48" s="19" t="s">
        <v>9</v>
      </c>
      <c r="H48" s="20">
        <v>0</v>
      </c>
      <c r="I48" s="34"/>
      <c r="K48" s="33"/>
      <c r="L48" s="19" t="s">
        <v>9</v>
      </c>
      <c r="M48" s="20">
        <v>0</v>
      </c>
      <c r="N48" s="34"/>
    </row>
    <row r="49" spans="1:14">
      <c r="A49" s="33"/>
      <c r="B49" s="19" t="s">
        <v>10</v>
      </c>
      <c r="C49" s="20">
        <v>0</v>
      </c>
      <c r="D49" s="34"/>
      <c r="F49" s="33"/>
      <c r="G49" s="19" t="s">
        <v>10</v>
      </c>
      <c r="H49" s="20">
        <v>0</v>
      </c>
      <c r="I49" s="34"/>
      <c r="K49" s="33"/>
      <c r="L49" s="19" t="s">
        <v>10</v>
      </c>
      <c r="M49" s="20">
        <v>0</v>
      </c>
      <c r="N49" s="34"/>
    </row>
    <row r="50" spans="1:14">
      <c r="A50" s="33"/>
      <c r="B50" s="19" t="s">
        <v>119</v>
      </c>
      <c r="C50" s="20">
        <v>0</v>
      </c>
      <c r="D50" s="34"/>
      <c r="F50" s="33"/>
      <c r="G50" s="19" t="s">
        <v>119</v>
      </c>
      <c r="H50" s="20">
        <v>0</v>
      </c>
      <c r="I50" s="34"/>
      <c r="K50" s="33"/>
      <c r="L50" s="19" t="s">
        <v>119</v>
      </c>
      <c r="M50" s="20">
        <v>0</v>
      </c>
      <c r="N50" s="34"/>
    </row>
    <row r="51" spans="1:14">
      <c r="A51" s="33"/>
      <c r="B51" s="19" t="s">
        <v>123</v>
      </c>
      <c r="C51" s="20">
        <v>0</v>
      </c>
      <c r="D51" s="34"/>
      <c r="F51" s="33"/>
      <c r="G51" s="19" t="s">
        <v>123</v>
      </c>
      <c r="H51" s="20">
        <v>0</v>
      </c>
      <c r="I51" s="34"/>
      <c r="K51" s="33"/>
      <c r="L51" s="19" t="s">
        <v>123</v>
      </c>
      <c r="M51" s="20">
        <v>0</v>
      </c>
      <c r="N51" s="34"/>
    </row>
    <row r="52" spans="1:14">
      <c r="A52" s="33"/>
      <c r="B52" s="19" t="s">
        <v>124</v>
      </c>
      <c r="C52" s="20">
        <v>0</v>
      </c>
      <c r="D52" s="34"/>
      <c r="F52" s="33"/>
      <c r="G52" s="19" t="s">
        <v>124</v>
      </c>
      <c r="H52" s="20">
        <v>0</v>
      </c>
      <c r="I52" s="34"/>
      <c r="K52" s="33"/>
      <c r="L52" s="19" t="s">
        <v>124</v>
      </c>
      <c r="M52" s="20">
        <v>0</v>
      </c>
      <c r="N52" s="34"/>
    </row>
    <row r="53" spans="1:14">
      <c r="A53" s="35"/>
      <c r="B53" s="36"/>
      <c r="C53" s="37"/>
      <c r="D53" s="38"/>
      <c r="F53" s="35"/>
      <c r="G53" s="36"/>
      <c r="H53" s="37"/>
      <c r="I53" s="38"/>
      <c r="K53" s="35"/>
      <c r="L53" s="36"/>
      <c r="M53" s="37"/>
      <c r="N53" s="38"/>
    </row>
    <row r="55" spans="1:14">
      <c r="A55" s="29"/>
      <c r="B55" s="30"/>
      <c r="C55" s="31"/>
      <c r="D55" s="32"/>
      <c r="F55" s="29"/>
      <c r="G55" s="30"/>
      <c r="H55" s="31"/>
      <c r="I55" s="32"/>
      <c r="K55" s="29"/>
      <c r="L55" s="30"/>
      <c r="M55" s="31"/>
      <c r="N55" s="32"/>
    </row>
    <row r="56" spans="1:14">
      <c r="A56" s="33"/>
      <c r="B56" s="299" t="s">
        <v>0</v>
      </c>
      <c r="C56" s="299"/>
      <c r="D56" s="34"/>
      <c r="F56" s="33"/>
      <c r="G56" s="299" t="s">
        <v>0</v>
      </c>
      <c r="H56" s="299"/>
      <c r="I56" s="34"/>
      <c r="K56" s="33"/>
      <c r="L56" s="299" t="s">
        <v>0</v>
      </c>
      <c r="M56" s="299"/>
      <c r="N56" s="34"/>
    </row>
    <row r="57" spans="1:14">
      <c r="A57" s="33"/>
      <c r="B57" s="299" t="s">
        <v>114</v>
      </c>
      <c r="C57" s="299"/>
      <c r="D57" s="34"/>
      <c r="F57" s="33"/>
      <c r="G57" s="299" t="s">
        <v>114</v>
      </c>
      <c r="H57" s="299"/>
      <c r="I57" s="34"/>
      <c r="K57" s="33"/>
      <c r="L57" s="299" t="s">
        <v>114</v>
      </c>
      <c r="M57" s="299"/>
      <c r="N57" s="34"/>
    </row>
    <row r="58" spans="1:14">
      <c r="A58" s="33"/>
      <c r="B58" s="297"/>
      <c r="C58" s="297"/>
      <c r="D58" s="34"/>
      <c r="F58" s="33"/>
      <c r="G58" s="297"/>
      <c r="H58" s="297"/>
      <c r="I58" s="34"/>
      <c r="K58" s="33"/>
      <c r="L58" s="297"/>
      <c r="M58" s="297"/>
      <c r="N58" s="34"/>
    </row>
    <row r="59" spans="1:14">
      <c r="A59" s="33"/>
      <c r="B59" s="298" t="s">
        <v>133</v>
      </c>
      <c r="C59" s="298"/>
      <c r="D59" s="34"/>
      <c r="F59" s="33"/>
      <c r="G59" s="298" t="s">
        <v>37</v>
      </c>
      <c r="H59" s="298"/>
      <c r="I59" s="34"/>
      <c r="K59" s="33"/>
      <c r="L59" s="298" t="s">
        <v>49</v>
      </c>
      <c r="M59" s="298"/>
      <c r="N59" s="34"/>
    </row>
    <row r="60" spans="1:14">
      <c r="A60" s="33"/>
      <c r="D60" s="34"/>
      <c r="F60" s="33"/>
      <c r="I60" s="34"/>
      <c r="K60" s="33"/>
      <c r="N60" s="34"/>
    </row>
    <row r="61" spans="1:14">
      <c r="A61" s="33"/>
      <c r="B61" s="19" t="s">
        <v>116</v>
      </c>
      <c r="C61" s="20">
        <v>3100000</v>
      </c>
      <c r="D61" s="34"/>
      <c r="F61" s="33"/>
      <c r="G61" s="19" t="s">
        <v>116</v>
      </c>
      <c r="H61" s="20">
        <v>3100000</v>
      </c>
      <c r="I61" s="34"/>
      <c r="K61" s="33"/>
      <c r="L61" s="19" t="s">
        <v>116</v>
      </c>
      <c r="M61" s="20">
        <v>3100000</v>
      </c>
      <c r="N61" s="34"/>
    </row>
    <row r="62" spans="1:14">
      <c r="A62" s="33"/>
      <c r="B62" s="19" t="s">
        <v>117</v>
      </c>
      <c r="C62" s="20">
        <v>100000</v>
      </c>
      <c r="D62" s="34"/>
      <c r="F62" s="33"/>
      <c r="G62" s="19" t="s">
        <v>117</v>
      </c>
      <c r="H62" s="20">
        <v>100000</v>
      </c>
      <c r="I62" s="34"/>
      <c r="K62" s="33"/>
      <c r="L62" s="19" t="s">
        <v>117</v>
      </c>
      <c r="M62" s="20">
        <v>100000</v>
      </c>
      <c r="N62" s="34"/>
    </row>
    <row r="63" spans="1:14">
      <c r="A63" s="33"/>
      <c r="B63" s="19" t="s">
        <v>118</v>
      </c>
      <c r="C63" s="20">
        <v>10000</v>
      </c>
      <c r="D63" s="34"/>
      <c r="F63" s="33"/>
      <c r="G63" s="19" t="s">
        <v>118</v>
      </c>
      <c r="H63" s="20">
        <v>10000</v>
      </c>
      <c r="I63" s="34"/>
      <c r="K63" s="33"/>
      <c r="L63" s="19" t="s">
        <v>118</v>
      </c>
      <c r="M63" s="20">
        <v>10000</v>
      </c>
      <c r="N63" s="34"/>
    </row>
    <row r="64" spans="1:14">
      <c r="A64" s="33"/>
      <c r="D64" s="34"/>
      <c r="F64" s="33"/>
      <c r="I64" s="34"/>
      <c r="K64" s="33"/>
      <c r="N64" s="34"/>
    </row>
    <row r="65" spans="1:14">
      <c r="A65" s="33"/>
      <c r="B65" s="19" t="s">
        <v>132</v>
      </c>
      <c r="C65" s="20" t="s">
        <v>69</v>
      </c>
      <c r="D65" s="34"/>
      <c r="F65" s="33"/>
      <c r="G65" s="19" t="s">
        <v>132</v>
      </c>
      <c r="H65" s="20" t="s">
        <v>69</v>
      </c>
      <c r="I65" s="34"/>
      <c r="K65" s="33"/>
      <c r="L65" s="19" t="s">
        <v>132</v>
      </c>
      <c r="M65" s="20" t="s">
        <v>69</v>
      </c>
      <c r="N65" s="34"/>
    </row>
    <row r="66" spans="1:14">
      <c r="A66" s="33"/>
      <c r="B66" s="19" t="s">
        <v>9</v>
      </c>
      <c r="C66" s="20">
        <v>0</v>
      </c>
      <c r="D66" s="34"/>
      <c r="F66" s="33"/>
      <c r="G66" s="19" t="s">
        <v>9</v>
      </c>
      <c r="H66" s="20">
        <v>0</v>
      </c>
      <c r="I66" s="34"/>
      <c r="K66" s="33"/>
      <c r="L66" s="19" t="s">
        <v>9</v>
      </c>
      <c r="M66" s="20">
        <v>0</v>
      </c>
      <c r="N66" s="34"/>
    </row>
    <row r="67" spans="1:14">
      <c r="A67" s="33"/>
      <c r="B67" s="19" t="s">
        <v>10</v>
      </c>
      <c r="C67" s="20">
        <v>0</v>
      </c>
      <c r="D67" s="34"/>
      <c r="F67" s="33"/>
      <c r="G67" s="19" t="s">
        <v>10</v>
      </c>
      <c r="H67" s="20">
        <v>0</v>
      </c>
      <c r="I67" s="34"/>
      <c r="K67" s="33"/>
      <c r="L67" s="19" t="s">
        <v>10</v>
      </c>
      <c r="M67" s="20">
        <v>0</v>
      </c>
      <c r="N67" s="34"/>
    </row>
    <row r="68" spans="1:14">
      <c r="A68" s="33"/>
      <c r="B68" s="19" t="s">
        <v>119</v>
      </c>
      <c r="C68" s="20">
        <v>0</v>
      </c>
      <c r="D68" s="34"/>
      <c r="F68" s="33"/>
      <c r="G68" s="19" t="s">
        <v>119</v>
      </c>
      <c r="H68" s="20">
        <v>0</v>
      </c>
      <c r="I68" s="34"/>
      <c r="K68" s="33"/>
      <c r="L68" s="19" t="s">
        <v>119</v>
      </c>
      <c r="M68" s="20">
        <v>0</v>
      </c>
      <c r="N68" s="34"/>
    </row>
    <row r="69" spans="1:14">
      <c r="A69" s="33"/>
      <c r="B69" s="19" t="s">
        <v>123</v>
      </c>
      <c r="C69" s="20">
        <v>0</v>
      </c>
      <c r="D69" s="34"/>
      <c r="F69" s="33"/>
      <c r="G69" s="19" t="s">
        <v>123</v>
      </c>
      <c r="H69" s="20">
        <v>0</v>
      </c>
      <c r="I69" s="34"/>
      <c r="K69" s="33"/>
      <c r="L69" s="19" t="s">
        <v>123</v>
      </c>
      <c r="M69" s="20">
        <v>0</v>
      </c>
      <c r="N69" s="34"/>
    </row>
    <row r="70" spans="1:14">
      <c r="A70" s="33"/>
      <c r="B70" s="19" t="s">
        <v>124</v>
      </c>
      <c r="C70" s="20">
        <v>0</v>
      </c>
      <c r="D70" s="34"/>
      <c r="F70" s="33"/>
      <c r="G70" s="19" t="s">
        <v>124</v>
      </c>
      <c r="H70" s="20">
        <v>0</v>
      </c>
      <c r="I70" s="34"/>
      <c r="K70" s="33"/>
      <c r="L70" s="19" t="s">
        <v>124</v>
      </c>
      <c r="M70" s="20">
        <v>0</v>
      </c>
      <c r="N70" s="34"/>
    </row>
    <row r="71" spans="1:14">
      <c r="A71" s="35"/>
      <c r="B71" s="36"/>
      <c r="C71" s="37"/>
      <c r="D71" s="38"/>
      <c r="F71" s="35"/>
      <c r="G71" s="36"/>
      <c r="H71" s="37"/>
      <c r="I71" s="38"/>
      <c r="K71" s="35"/>
      <c r="L71" s="36"/>
      <c r="M71" s="37"/>
      <c r="N71" s="38"/>
    </row>
    <row r="73" spans="1:14">
      <c r="A73" s="29"/>
      <c r="B73" s="30"/>
      <c r="C73" s="31"/>
      <c r="D73" s="32"/>
      <c r="F73" s="29"/>
      <c r="G73" s="30"/>
      <c r="H73" s="31"/>
      <c r="I73" s="32"/>
      <c r="K73" s="29"/>
      <c r="L73" s="30"/>
      <c r="M73" s="31"/>
      <c r="N73" s="32"/>
    </row>
    <row r="74" spans="1:14">
      <c r="A74" s="33"/>
      <c r="B74" s="299" t="s">
        <v>0</v>
      </c>
      <c r="C74" s="299"/>
      <c r="D74" s="34"/>
      <c r="F74" s="33"/>
      <c r="G74" s="299" t="s">
        <v>0</v>
      </c>
      <c r="H74" s="299"/>
      <c r="I74" s="34"/>
      <c r="K74" s="33"/>
      <c r="L74" s="299" t="s">
        <v>0</v>
      </c>
      <c r="M74" s="299"/>
      <c r="N74" s="34"/>
    </row>
    <row r="75" spans="1:14">
      <c r="A75" s="33"/>
      <c r="B75" s="299" t="s">
        <v>114</v>
      </c>
      <c r="C75" s="299"/>
      <c r="D75" s="34"/>
      <c r="F75" s="33"/>
      <c r="G75" s="299" t="s">
        <v>114</v>
      </c>
      <c r="H75" s="299"/>
      <c r="I75" s="34"/>
      <c r="K75" s="33"/>
      <c r="L75" s="299" t="s">
        <v>114</v>
      </c>
      <c r="M75" s="299"/>
      <c r="N75" s="34"/>
    </row>
    <row r="76" spans="1:14">
      <c r="A76" s="33"/>
      <c r="B76" s="297"/>
      <c r="C76" s="297"/>
      <c r="D76" s="34"/>
      <c r="F76" s="33"/>
      <c r="G76" s="297"/>
      <c r="H76" s="297"/>
      <c r="I76" s="34"/>
      <c r="K76" s="33"/>
      <c r="L76" s="297"/>
      <c r="M76" s="297"/>
      <c r="N76" s="34"/>
    </row>
    <row r="77" spans="1:14">
      <c r="A77" s="33"/>
      <c r="B77" s="298" t="s">
        <v>134</v>
      </c>
      <c r="C77" s="298"/>
      <c r="D77" s="34"/>
      <c r="F77" s="33"/>
      <c r="G77" s="298" t="s">
        <v>135</v>
      </c>
      <c r="H77" s="298"/>
      <c r="I77" s="34"/>
      <c r="K77" s="33"/>
      <c r="L77" s="298" t="s">
        <v>136</v>
      </c>
      <c r="M77" s="298"/>
      <c r="N77" s="34"/>
    </row>
    <row r="78" spans="1:14">
      <c r="A78" s="33"/>
      <c r="D78" s="34"/>
      <c r="F78" s="33"/>
      <c r="I78" s="34"/>
      <c r="K78" s="33"/>
      <c r="N78" s="34"/>
    </row>
    <row r="79" spans="1:14">
      <c r="A79" s="33"/>
      <c r="B79" s="19" t="s">
        <v>116</v>
      </c>
      <c r="C79" s="20">
        <v>3100000</v>
      </c>
      <c r="D79" s="34"/>
      <c r="F79" s="33"/>
      <c r="G79" s="19" t="s">
        <v>116</v>
      </c>
      <c r="H79" s="20">
        <v>3100000</v>
      </c>
      <c r="I79" s="34"/>
      <c r="K79" s="33"/>
      <c r="L79" s="19" t="s">
        <v>116</v>
      </c>
      <c r="M79" s="20">
        <v>3100000</v>
      </c>
      <c r="N79" s="34"/>
    </row>
    <row r="80" spans="1:14">
      <c r="A80" s="33"/>
      <c r="B80" s="19" t="s">
        <v>117</v>
      </c>
      <c r="C80" s="20">
        <v>100000</v>
      </c>
      <c r="D80" s="34"/>
      <c r="F80" s="33"/>
      <c r="G80" s="19" t="s">
        <v>117</v>
      </c>
      <c r="H80" s="20">
        <v>100000</v>
      </c>
      <c r="I80" s="34"/>
      <c r="K80" s="33"/>
      <c r="L80" s="19" t="s">
        <v>117</v>
      </c>
      <c r="M80" s="20">
        <v>100000</v>
      </c>
      <c r="N80" s="34"/>
    </row>
    <row r="81" spans="1:14">
      <c r="A81" s="33"/>
      <c r="B81" s="19" t="s">
        <v>118</v>
      </c>
      <c r="C81" s="20">
        <v>10000</v>
      </c>
      <c r="D81" s="34"/>
      <c r="F81" s="33"/>
      <c r="G81" s="19" t="s">
        <v>118</v>
      </c>
      <c r="H81" s="20">
        <v>10000</v>
      </c>
      <c r="I81" s="34"/>
      <c r="K81" s="33"/>
      <c r="L81" s="19" t="s">
        <v>118</v>
      </c>
      <c r="M81" s="20">
        <v>10000</v>
      </c>
      <c r="N81" s="34"/>
    </row>
    <row r="82" spans="1:14">
      <c r="A82" s="33"/>
      <c r="D82" s="34"/>
      <c r="F82" s="33"/>
      <c r="I82" s="34"/>
      <c r="K82" s="33"/>
      <c r="N82" s="34"/>
    </row>
    <row r="83" spans="1:14">
      <c r="A83" s="33"/>
      <c r="B83" s="19" t="s">
        <v>132</v>
      </c>
      <c r="C83" s="20" t="s">
        <v>69</v>
      </c>
      <c r="D83" s="34"/>
      <c r="F83" s="33"/>
      <c r="G83" s="19" t="s">
        <v>132</v>
      </c>
      <c r="H83" s="20" t="s">
        <v>69</v>
      </c>
      <c r="I83" s="34"/>
      <c r="K83" s="33"/>
      <c r="L83" s="19" t="s">
        <v>132</v>
      </c>
      <c r="M83" s="20" t="s">
        <v>69</v>
      </c>
      <c r="N83" s="34"/>
    </row>
    <row r="84" spans="1:14">
      <c r="A84" s="33"/>
      <c r="B84" s="19" t="s">
        <v>9</v>
      </c>
      <c r="C84" s="20">
        <v>0</v>
      </c>
      <c r="D84" s="34"/>
      <c r="F84" s="33"/>
      <c r="G84" s="19" t="s">
        <v>9</v>
      </c>
      <c r="H84" s="20">
        <v>0</v>
      </c>
      <c r="I84" s="34"/>
      <c r="K84" s="33"/>
      <c r="L84" s="19" t="s">
        <v>9</v>
      </c>
      <c r="M84" s="20">
        <v>0</v>
      </c>
      <c r="N84" s="34"/>
    </row>
    <row r="85" spans="1:14">
      <c r="A85" s="33"/>
      <c r="B85" s="19" t="s">
        <v>10</v>
      </c>
      <c r="C85" s="20">
        <v>0</v>
      </c>
      <c r="D85" s="34"/>
      <c r="F85" s="33"/>
      <c r="G85" s="19" t="s">
        <v>10</v>
      </c>
      <c r="H85" s="20">
        <v>0</v>
      </c>
      <c r="I85" s="34"/>
      <c r="K85" s="33"/>
      <c r="L85" s="19" t="s">
        <v>10</v>
      </c>
      <c r="M85" s="20">
        <v>0</v>
      </c>
      <c r="N85" s="34"/>
    </row>
    <row r="86" spans="1:14">
      <c r="A86" s="33"/>
      <c r="B86" s="19" t="s">
        <v>119</v>
      </c>
      <c r="C86" s="20">
        <v>0</v>
      </c>
      <c r="D86" s="34"/>
      <c r="F86" s="33"/>
      <c r="G86" s="19" t="s">
        <v>119</v>
      </c>
      <c r="H86" s="20">
        <v>0</v>
      </c>
      <c r="I86" s="34"/>
      <c r="K86" s="33"/>
      <c r="L86" s="19" t="s">
        <v>119</v>
      </c>
      <c r="M86" s="20">
        <v>0</v>
      </c>
      <c r="N86" s="34"/>
    </row>
    <row r="87" spans="1:14">
      <c r="A87" s="33"/>
      <c r="B87" s="19" t="s">
        <v>123</v>
      </c>
      <c r="C87" s="20">
        <v>0</v>
      </c>
      <c r="D87" s="34"/>
      <c r="F87" s="33"/>
      <c r="G87" s="19" t="s">
        <v>123</v>
      </c>
      <c r="H87" s="20">
        <v>0</v>
      </c>
      <c r="I87" s="34"/>
      <c r="K87" s="33"/>
      <c r="L87" s="19" t="s">
        <v>123</v>
      </c>
      <c r="M87" s="20">
        <v>0</v>
      </c>
      <c r="N87" s="34"/>
    </row>
    <row r="88" spans="1:14">
      <c r="A88" s="33"/>
      <c r="B88" s="19" t="s">
        <v>124</v>
      </c>
      <c r="C88" s="20">
        <v>0</v>
      </c>
      <c r="D88" s="34"/>
      <c r="F88" s="33"/>
      <c r="G88" s="19" t="s">
        <v>124</v>
      </c>
      <c r="H88" s="20">
        <v>0</v>
      </c>
      <c r="I88" s="34"/>
      <c r="K88" s="33"/>
      <c r="L88" s="19" t="s">
        <v>124</v>
      </c>
      <c r="M88" s="20">
        <v>0</v>
      </c>
      <c r="N88" s="34"/>
    </row>
    <row r="89" spans="1:14">
      <c r="A89" s="35"/>
      <c r="B89" s="36"/>
      <c r="C89" s="37"/>
      <c r="D89" s="38"/>
      <c r="F89" s="35"/>
      <c r="G89" s="36"/>
      <c r="H89" s="37"/>
      <c r="I89" s="38"/>
      <c r="K89" s="35"/>
      <c r="L89" s="36"/>
      <c r="M89" s="37"/>
      <c r="N89" s="38"/>
    </row>
    <row r="91" spans="1:14">
      <c r="A91" s="29"/>
      <c r="B91" s="30"/>
      <c r="C91" s="31"/>
      <c r="D91" s="32"/>
      <c r="F91" s="29"/>
      <c r="G91" s="30"/>
      <c r="H91" s="31"/>
      <c r="I91" s="32"/>
      <c r="K91" s="29"/>
      <c r="L91" s="30"/>
      <c r="M91" s="31"/>
      <c r="N91" s="32"/>
    </row>
    <row r="92" spans="1:14">
      <c r="A92" s="33"/>
      <c r="B92" s="299" t="s">
        <v>0</v>
      </c>
      <c r="C92" s="299"/>
      <c r="D92" s="34"/>
      <c r="F92" s="33"/>
      <c r="G92" s="299" t="s">
        <v>0</v>
      </c>
      <c r="H92" s="299"/>
      <c r="I92" s="34"/>
      <c r="K92" s="33"/>
      <c r="L92" s="299" t="s">
        <v>0</v>
      </c>
      <c r="M92" s="299"/>
      <c r="N92" s="34"/>
    </row>
    <row r="93" spans="1:14">
      <c r="A93" s="33"/>
      <c r="B93" s="299" t="s">
        <v>114</v>
      </c>
      <c r="C93" s="299"/>
      <c r="D93" s="34"/>
      <c r="F93" s="33"/>
      <c r="G93" s="299" t="s">
        <v>114</v>
      </c>
      <c r="H93" s="299"/>
      <c r="I93" s="34"/>
      <c r="K93" s="33"/>
      <c r="L93" s="299" t="s">
        <v>114</v>
      </c>
      <c r="M93" s="299"/>
      <c r="N93" s="34"/>
    </row>
    <row r="94" spans="1:14">
      <c r="A94" s="33"/>
      <c r="B94" s="297"/>
      <c r="C94" s="297"/>
      <c r="D94" s="34"/>
      <c r="F94" s="33"/>
      <c r="G94" s="297"/>
      <c r="H94" s="297"/>
      <c r="I94" s="34"/>
      <c r="K94" s="33"/>
      <c r="L94" s="297"/>
      <c r="M94" s="297"/>
      <c r="N94" s="34"/>
    </row>
    <row r="95" spans="1:14">
      <c r="A95" s="33"/>
      <c r="B95" s="298" t="s">
        <v>137</v>
      </c>
      <c r="C95" s="298"/>
      <c r="D95" s="34"/>
      <c r="F95" s="33"/>
      <c r="G95" s="298" t="s">
        <v>138</v>
      </c>
      <c r="H95" s="298"/>
      <c r="I95" s="34"/>
      <c r="K95" s="33"/>
      <c r="L95" s="298" t="s">
        <v>139</v>
      </c>
      <c r="M95" s="298"/>
      <c r="N95" s="34"/>
    </row>
    <row r="96" spans="1:14">
      <c r="A96" s="33"/>
      <c r="D96" s="34"/>
      <c r="F96" s="33"/>
      <c r="I96" s="34"/>
      <c r="K96" s="33"/>
      <c r="N96" s="34"/>
    </row>
    <row r="97" spans="1:14">
      <c r="A97" s="33"/>
      <c r="B97" s="19" t="s">
        <v>116</v>
      </c>
      <c r="C97" s="20">
        <v>3100000</v>
      </c>
      <c r="D97" s="34"/>
      <c r="F97" s="33"/>
      <c r="G97" s="19" t="s">
        <v>116</v>
      </c>
      <c r="H97" s="20">
        <v>3100000</v>
      </c>
      <c r="I97" s="34"/>
      <c r="K97" s="33"/>
      <c r="L97" s="19" t="s">
        <v>116</v>
      </c>
      <c r="M97" s="20">
        <v>3100000</v>
      </c>
      <c r="N97" s="34"/>
    </row>
    <row r="98" spans="1:14">
      <c r="A98" s="33"/>
      <c r="B98" s="19" t="s">
        <v>117</v>
      </c>
      <c r="C98" s="20">
        <v>100000</v>
      </c>
      <c r="D98" s="34"/>
      <c r="F98" s="33"/>
      <c r="G98" s="19" t="s">
        <v>117</v>
      </c>
      <c r="H98" s="20">
        <v>100000</v>
      </c>
      <c r="I98" s="34"/>
      <c r="K98" s="33"/>
      <c r="L98" s="19" t="s">
        <v>117</v>
      </c>
      <c r="M98" s="20">
        <v>100000</v>
      </c>
      <c r="N98" s="34"/>
    </row>
    <row r="99" spans="1:14">
      <c r="A99" s="33"/>
      <c r="B99" s="19" t="s">
        <v>118</v>
      </c>
      <c r="C99" s="20">
        <v>10000</v>
      </c>
      <c r="D99" s="34"/>
      <c r="F99" s="33"/>
      <c r="G99" s="19" t="s">
        <v>118</v>
      </c>
      <c r="H99" s="20">
        <v>10000</v>
      </c>
      <c r="I99" s="34"/>
      <c r="K99" s="33"/>
      <c r="L99" s="19" t="s">
        <v>118</v>
      </c>
      <c r="M99" s="20">
        <v>10000</v>
      </c>
      <c r="N99" s="34"/>
    </row>
    <row r="100" spans="1:14">
      <c r="A100" s="33"/>
      <c r="D100" s="34"/>
      <c r="F100" s="33"/>
      <c r="I100" s="34"/>
      <c r="K100" s="33"/>
      <c r="N100" s="34"/>
    </row>
    <row r="101" spans="1:14">
      <c r="A101" s="33"/>
      <c r="B101" s="19" t="s">
        <v>132</v>
      </c>
      <c r="C101" s="20" t="s">
        <v>69</v>
      </c>
      <c r="D101" s="34"/>
      <c r="F101" s="33"/>
      <c r="G101" s="19" t="s">
        <v>132</v>
      </c>
      <c r="H101" s="20" t="s">
        <v>69</v>
      </c>
      <c r="I101" s="34"/>
      <c r="K101" s="33"/>
      <c r="L101" s="19" t="s">
        <v>132</v>
      </c>
      <c r="M101" s="20" t="s">
        <v>69</v>
      </c>
      <c r="N101" s="34"/>
    </row>
    <row r="102" spans="1:14">
      <c r="A102" s="33"/>
      <c r="B102" s="19" t="s">
        <v>9</v>
      </c>
      <c r="C102" s="20">
        <v>0</v>
      </c>
      <c r="D102" s="34"/>
      <c r="F102" s="33"/>
      <c r="G102" s="19" t="s">
        <v>9</v>
      </c>
      <c r="H102" s="20">
        <v>0</v>
      </c>
      <c r="I102" s="34"/>
      <c r="K102" s="33"/>
      <c r="L102" s="19" t="s">
        <v>9</v>
      </c>
      <c r="M102" s="20">
        <v>0</v>
      </c>
      <c r="N102" s="34"/>
    </row>
    <row r="103" spans="1:14">
      <c r="A103" s="33"/>
      <c r="B103" s="19" t="s">
        <v>10</v>
      </c>
      <c r="C103" s="20">
        <v>0</v>
      </c>
      <c r="D103" s="34"/>
      <c r="F103" s="33"/>
      <c r="G103" s="19" t="s">
        <v>10</v>
      </c>
      <c r="H103" s="20">
        <v>0</v>
      </c>
      <c r="I103" s="34"/>
      <c r="K103" s="33"/>
      <c r="L103" s="19" t="s">
        <v>10</v>
      </c>
      <c r="M103" s="20">
        <v>0</v>
      </c>
      <c r="N103" s="34"/>
    </row>
    <row r="104" spans="1:14">
      <c r="A104" s="33"/>
      <c r="B104" s="19" t="s">
        <v>119</v>
      </c>
      <c r="C104" s="20">
        <v>0</v>
      </c>
      <c r="D104" s="34"/>
      <c r="F104" s="33"/>
      <c r="G104" s="19" t="s">
        <v>119</v>
      </c>
      <c r="H104" s="20">
        <v>0</v>
      </c>
      <c r="I104" s="34"/>
      <c r="K104" s="33"/>
      <c r="L104" s="19" t="s">
        <v>119</v>
      </c>
      <c r="M104" s="20">
        <v>0</v>
      </c>
      <c r="N104" s="34"/>
    </row>
    <row r="105" spans="1:14">
      <c r="A105" s="33"/>
      <c r="B105" s="19" t="s">
        <v>123</v>
      </c>
      <c r="C105" s="20">
        <v>0</v>
      </c>
      <c r="D105" s="34"/>
      <c r="F105" s="33"/>
      <c r="G105" s="19" t="s">
        <v>123</v>
      </c>
      <c r="H105" s="20">
        <v>0</v>
      </c>
      <c r="I105" s="34"/>
      <c r="K105" s="33"/>
      <c r="L105" s="19" t="s">
        <v>123</v>
      </c>
      <c r="M105" s="20">
        <v>0</v>
      </c>
      <c r="N105" s="34"/>
    </row>
    <row r="106" spans="1:14">
      <c r="A106" s="33"/>
      <c r="B106" s="19" t="s">
        <v>124</v>
      </c>
      <c r="C106" s="20">
        <v>0</v>
      </c>
      <c r="D106" s="34"/>
      <c r="F106" s="33"/>
      <c r="G106" s="19" t="s">
        <v>124</v>
      </c>
      <c r="H106" s="20">
        <v>0</v>
      </c>
      <c r="I106" s="34"/>
      <c r="K106" s="33"/>
      <c r="L106" s="19" t="s">
        <v>124</v>
      </c>
      <c r="M106" s="20">
        <v>0</v>
      </c>
      <c r="N106" s="34"/>
    </row>
    <row r="107" spans="1:14">
      <c r="A107" s="35"/>
      <c r="B107" s="36"/>
      <c r="C107" s="37"/>
      <c r="D107" s="38"/>
      <c r="F107" s="35"/>
      <c r="G107" s="36"/>
      <c r="H107" s="37"/>
      <c r="I107" s="38"/>
      <c r="K107" s="35"/>
      <c r="L107" s="36"/>
      <c r="M107" s="37"/>
      <c r="N107" s="38"/>
    </row>
    <row r="109" spans="1:14">
      <c r="A109" s="29"/>
      <c r="B109" s="30"/>
      <c r="C109" s="31"/>
      <c r="D109" s="32"/>
      <c r="F109" s="29"/>
      <c r="G109" s="30"/>
      <c r="H109" s="31"/>
      <c r="I109" s="32"/>
      <c r="K109" s="29"/>
      <c r="L109" s="30"/>
      <c r="M109" s="31"/>
      <c r="N109" s="32"/>
    </row>
    <row r="110" spans="1:14">
      <c r="A110" s="33"/>
      <c r="B110" s="299" t="s">
        <v>0</v>
      </c>
      <c r="C110" s="299"/>
      <c r="D110" s="34"/>
      <c r="F110" s="33"/>
      <c r="G110" s="299" t="s">
        <v>0</v>
      </c>
      <c r="H110" s="299"/>
      <c r="I110" s="34"/>
      <c r="K110" s="33"/>
      <c r="L110" s="299" t="s">
        <v>0</v>
      </c>
      <c r="M110" s="299"/>
      <c r="N110" s="34"/>
    </row>
    <row r="111" spans="1:14">
      <c r="A111" s="33"/>
      <c r="B111" s="299" t="s">
        <v>114</v>
      </c>
      <c r="C111" s="299"/>
      <c r="D111" s="34"/>
      <c r="F111" s="33"/>
      <c r="G111" s="299" t="s">
        <v>114</v>
      </c>
      <c r="H111" s="299"/>
      <c r="I111" s="34"/>
      <c r="K111" s="33"/>
      <c r="L111" s="299" t="s">
        <v>114</v>
      </c>
      <c r="M111" s="299"/>
      <c r="N111" s="34"/>
    </row>
    <row r="112" spans="1:14">
      <c r="A112" s="33"/>
      <c r="B112" s="297"/>
      <c r="C112" s="297"/>
      <c r="D112" s="34"/>
      <c r="F112" s="33"/>
      <c r="G112" s="297"/>
      <c r="H112" s="297"/>
      <c r="I112" s="34"/>
      <c r="K112" s="33"/>
      <c r="L112" s="297"/>
      <c r="M112" s="297"/>
      <c r="N112" s="34"/>
    </row>
    <row r="113" spans="1:14">
      <c r="A113" s="33"/>
      <c r="B113" s="298" t="s">
        <v>140</v>
      </c>
      <c r="C113" s="298"/>
      <c r="D113" s="34"/>
      <c r="F113" s="33"/>
      <c r="G113" s="298" t="s">
        <v>141</v>
      </c>
      <c r="H113" s="298"/>
      <c r="I113" s="34"/>
      <c r="K113" s="33"/>
      <c r="L113" s="298" t="s">
        <v>142</v>
      </c>
      <c r="M113" s="298"/>
      <c r="N113" s="34"/>
    </row>
    <row r="114" spans="1:14">
      <c r="A114" s="33"/>
      <c r="D114" s="34"/>
      <c r="F114" s="33"/>
      <c r="I114" s="34"/>
      <c r="K114" s="33"/>
      <c r="N114" s="34"/>
    </row>
    <row r="115" spans="1:14">
      <c r="A115" s="33"/>
      <c r="B115" s="19" t="s">
        <v>116</v>
      </c>
      <c r="C115" s="20">
        <v>3100000</v>
      </c>
      <c r="D115" s="34"/>
      <c r="F115" s="33"/>
      <c r="G115" s="19" t="s">
        <v>116</v>
      </c>
      <c r="H115" s="20">
        <v>3100000</v>
      </c>
      <c r="I115" s="34"/>
      <c r="K115" s="33"/>
      <c r="L115" s="19" t="s">
        <v>116</v>
      </c>
      <c r="M115" s="20">
        <v>3100000</v>
      </c>
      <c r="N115" s="34"/>
    </row>
    <row r="116" spans="1:14">
      <c r="A116" s="33"/>
      <c r="B116" s="19" t="s">
        <v>117</v>
      </c>
      <c r="C116" s="20">
        <v>100000</v>
      </c>
      <c r="D116" s="34"/>
      <c r="F116" s="33"/>
      <c r="G116" s="19" t="s">
        <v>117</v>
      </c>
      <c r="H116" s="20">
        <v>100000</v>
      </c>
      <c r="I116" s="34"/>
      <c r="K116" s="33"/>
      <c r="L116" s="19" t="s">
        <v>117</v>
      </c>
      <c r="M116" s="20">
        <v>100000</v>
      </c>
      <c r="N116" s="34"/>
    </row>
    <row r="117" spans="1:14">
      <c r="A117" s="33"/>
      <c r="B117" s="19" t="s">
        <v>118</v>
      </c>
      <c r="C117" s="20">
        <v>10000</v>
      </c>
      <c r="D117" s="34"/>
      <c r="F117" s="33"/>
      <c r="G117" s="19" t="s">
        <v>118</v>
      </c>
      <c r="H117" s="20">
        <v>10000</v>
      </c>
      <c r="I117" s="34"/>
      <c r="K117" s="33"/>
      <c r="L117" s="19" t="s">
        <v>118</v>
      </c>
      <c r="M117" s="20">
        <v>10000</v>
      </c>
      <c r="N117" s="34"/>
    </row>
    <row r="118" spans="1:14">
      <c r="A118" s="33"/>
      <c r="D118" s="34"/>
      <c r="F118" s="33"/>
      <c r="I118" s="34"/>
      <c r="K118" s="33"/>
      <c r="N118" s="34"/>
    </row>
    <row r="119" spans="1:14">
      <c r="A119" s="33"/>
      <c r="B119" s="19" t="s">
        <v>132</v>
      </c>
      <c r="C119" s="20" t="s">
        <v>69</v>
      </c>
      <c r="D119" s="34"/>
      <c r="F119" s="33"/>
      <c r="G119" s="19" t="s">
        <v>132</v>
      </c>
      <c r="H119" s="20" t="s">
        <v>69</v>
      </c>
      <c r="I119" s="34"/>
      <c r="K119" s="33"/>
      <c r="L119" s="19" t="s">
        <v>132</v>
      </c>
      <c r="M119" s="20" t="s">
        <v>69</v>
      </c>
      <c r="N119" s="34"/>
    </row>
    <row r="120" spans="1:14">
      <c r="A120" s="33"/>
      <c r="B120" s="19" t="s">
        <v>9</v>
      </c>
      <c r="C120" s="20">
        <v>0</v>
      </c>
      <c r="D120" s="34"/>
      <c r="F120" s="33"/>
      <c r="G120" s="19" t="s">
        <v>9</v>
      </c>
      <c r="H120" s="20">
        <v>0</v>
      </c>
      <c r="I120" s="34"/>
      <c r="K120" s="33"/>
      <c r="L120" s="19" t="s">
        <v>9</v>
      </c>
      <c r="M120" s="20">
        <v>0</v>
      </c>
      <c r="N120" s="34"/>
    </row>
    <row r="121" spans="1:14">
      <c r="A121" s="33"/>
      <c r="B121" s="19" t="s">
        <v>10</v>
      </c>
      <c r="C121" s="20">
        <v>0</v>
      </c>
      <c r="D121" s="34"/>
      <c r="F121" s="33"/>
      <c r="G121" s="19" t="s">
        <v>10</v>
      </c>
      <c r="H121" s="20">
        <v>0</v>
      </c>
      <c r="I121" s="34"/>
      <c r="K121" s="33"/>
      <c r="L121" s="19" t="s">
        <v>10</v>
      </c>
      <c r="M121" s="20">
        <v>0</v>
      </c>
      <c r="N121" s="34"/>
    </row>
    <row r="122" spans="1:14">
      <c r="A122" s="33"/>
      <c r="B122" s="19" t="s">
        <v>119</v>
      </c>
      <c r="C122" s="20">
        <v>0</v>
      </c>
      <c r="D122" s="34"/>
      <c r="F122" s="33"/>
      <c r="G122" s="19" t="s">
        <v>119</v>
      </c>
      <c r="H122" s="20">
        <v>0</v>
      </c>
      <c r="I122" s="34"/>
      <c r="K122" s="33"/>
      <c r="L122" s="19" t="s">
        <v>119</v>
      </c>
      <c r="M122" s="20">
        <v>0</v>
      </c>
      <c r="N122" s="34"/>
    </row>
    <row r="123" spans="1:14">
      <c r="A123" s="33"/>
      <c r="B123" s="19" t="s">
        <v>123</v>
      </c>
      <c r="C123" s="20">
        <v>0</v>
      </c>
      <c r="D123" s="34"/>
      <c r="F123" s="33"/>
      <c r="G123" s="19" t="s">
        <v>123</v>
      </c>
      <c r="H123" s="20">
        <v>0</v>
      </c>
      <c r="I123" s="34"/>
      <c r="K123" s="33"/>
      <c r="L123" s="19" t="s">
        <v>123</v>
      </c>
      <c r="M123" s="20">
        <v>0</v>
      </c>
      <c r="N123" s="34"/>
    </row>
    <row r="124" spans="1:14">
      <c r="A124" s="33"/>
      <c r="B124" s="19" t="s">
        <v>124</v>
      </c>
      <c r="C124" s="20">
        <v>0</v>
      </c>
      <c r="D124" s="34"/>
      <c r="F124" s="33"/>
      <c r="G124" s="19" t="s">
        <v>124</v>
      </c>
      <c r="H124" s="20">
        <v>0</v>
      </c>
      <c r="I124" s="34"/>
      <c r="K124" s="33"/>
      <c r="L124" s="19" t="s">
        <v>124</v>
      </c>
      <c r="M124" s="20">
        <v>0</v>
      </c>
      <c r="N124" s="34"/>
    </row>
    <row r="125" spans="1:14">
      <c r="A125" s="35"/>
      <c r="B125" s="36"/>
      <c r="C125" s="37"/>
      <c r="D125" s="38"/>
      <c r="F125" s="35"/>
      <c r="G125" s="36"/>
      <c r="H125" s="37"/>
      <c r="I125" s="38"/>
      <c r="K125" s="35"/>
      <c r="L125" s="36"/>
      <c r="M125" s="37"/>
      <c r="N125" s="38"/>
    </row>
    <row r="127" spans="1:14">
      <c r="A127" s="29"/>
      <c r="B127" s="30"/>
      <c r="C127" s="31"/>
      <c r="D127" s="32"/>
      <c r="F127" s="29"/>
      <c r="G127" s="30"/>
      <c r="H127" s="31"/>
      <c r="I127" s="32"/>
      <c r="K127" s="29"/>
      <c r="L127" s="30"/>
      <c r="M127" s="31"/>
      <c r="N127" s="32"/>
    </row>
    <row r="128" spans="1:14">
      <c r="A128" s="33"/>
      <c r="B128" s="299" t="s">
        <v>0</v>
      </c>
      <c r="C128" s="299"/>
      <c r="D128" s="34"/>
      <c r="F128" s="33"/>
      <c r="G128" s="299" t="s">
        <v>0</v>
      </c>
      <c r="H128" s="299"/>
      <c r="I128" s="34"/>
      <c r="K128" s="33"/>
      <c r="L128" s="299" t="s">
        <v>0</v>
      </c>
      <c r="M128" s="299"/>
      <c r="N128" s="34"/>
    </row>
    <row r="129" spans="1:14">
      <c r="A129" s="33"/>
      <c r="B129" s="299" t="s">
        <v>114</v>
      </c>
      <c r="C129" s="299"/>
      <c r="D129" s="34"/>
      <c r="F129" s="33"/>
      <c r="G129" s="299" t="s">
        <v>114</v>
      </c>
      <c r="H129" s="299"/>
      <c r="I129" s="34"/>
      <c r="K129" s="33"/>
      <c r="L129" s="299" t="s">
        <v>114</v>
      </c>
      <c r="M129" s="299"/>
      <c r="N129" s="34"/>
    </row>
    <row r="130" spans="1:14">
      <c r="A130" s="33"/>
      <c r="B130" s="297"/>
      <c r="C130" s="297"/>
      <c r="D130" s="34"/>
      <c r="F130" s="33"/>
      <c r="G130" s="297"/>
      <c r="H130" s="297"/>
      <c r="I130" s="34"/>
      <c r="K130" s="33"/>
      <c r="L130" s="297"/>
      <c r="M130" s="297"/>
      <c r="N130" s="34"/>
    </row>
    <row r="131" spans="1:14">
      <c r="A131" s="33"/>
      <c r="B131" s="298" t="s">
        <v>143</v>
      </c>
      <c r="C131" s="298"/>
      <c r="D131" s="34"/>
      <c r="F131" s="33"/>
      <c r="G131" s="298" t="s">
        <v>144</v>
      </c>
      <c r="H131" s="298"/>
      <c r="I131" s="34"/>
      <c r="K131" s="33"/>
      <c r="L131" s="298" t="s">
        <v>142</v>
      </c>
      <c r="M131" s="298"/>
      <c r="N131" s="34"/>
    </row>
    <row r="132" spans="1:14">
      <c r="A132" s="33"/>
      <c r="D132" s="34"/>
      <c r="F132" s="33"/>
      <c r="I132" s="34"/>
      <c r="K132" s="33"/>
      <c r="N132" s="34"/>
    </row>
    <row r="133" spans="1:14">
      <c r="A133" s="33"/>
      <c r="B133" s="19" t="s">
        <v>116</v>
      </c>
      <c r="C133" s="20">
        <v>3100000</v>
      </c>
      <c r="D133" s="34"/>
      <c r="F133" s="33"/>
      <c r="G133" s="19" t="s">
        <v>116</v>
      </c>
      <c r="H133" s="20">
        <v>3100000</v>
      </c>
      <c r="I133" s="34"/>
      <c r="K133" s="33"/>
      <c r="L133" s="19" t="s">
        <v>116</v>
      </c>
      <c r="M133" s="20">
        <v>3100000</v>
      </c>
      <c r="N133" s="34"/>
    </row>
    <row r="134" spans="1:14">
      <c r="A134" s="33"/>
      <c r="B134" s="19" t="s">
        <v>117</v>
      </c>
      <c r="C134" s="20">
        <v>100000</v>
      </c>
      <c r="D134" s="34"/>
      <c r="F134" s="33"/>
      <c r="G134" s="19" t="s">
        <v>117</v>
      </c>
      <c r="H134" s="20">
        <v>100000</v>
      </c>
      <c r="I134" s="34"/>
      <c r="K134" s="33"/>
      <c r="L134" s="19" t="s">
        <v>117</v>
      </c>
      <c r="M134" s="20">
        <v>100000</v>
      </c>
      <c r="N134" s="34"/>
    </row>
    <row r="135" spans="1:14">
      <c r="A135" s="33"/>
      <c r="B135" s="19" t="s">
        <v>118</v>
      </c>
      <c r="C135" s="20">
        <v>10000</v>
      </c>
      <c r="D135" s="34"/>
      <c r="F135" s="33"/>
      <c r="G135" s="19" t="s">
        <v>118</v>
      </c>
      <c r="H135" s="20">
        <v>10000</v>
      </c>
      <c r="I135" s="34"/>
      <c r="K135" s="33"/>
      <c r="L135" s="19" t="s">
        <v>118</v>
      </c>
      <c r="M135" s="20">
        <v>10000</v>
      </c>
      <c r="N135" s="34"/>
    </row>
    <row r="136" spans="1:14">
      <c r="A136" s="33"/>
      <c r="D136" s="34"/>
      <c r="F136" s="33"/>
      <c r="I136" s="34"/>
      <c r="K136" s="33"/>
      <c r="N136" s="34"/>
    </row>
    <row r="137" spans="1:14">
      <c r="A137" s="33"/>
      <c r="B137" s="19" t="s">
        <v>132</v>
      </c>
      <c r="C137" s="20" t="s">
        <v>69</v>
      </c>
      <c r="D137" s="34"/>
      <c r="F137" s="33"/>
      <c r="G137" s="19" t="s">
        <v>132</v>
      </c>
      <c r="H137" s="20" t="s">
        <v>69</v>
      </c>
      <c r="I137" s="34"/>
      <c r="K137" s="33"/>
      <c r="L137" s="19" t="s">
        <v>132</v>
      </c>
      <c r="M137" s="20" t="s">
        <v>69</v>
      </c>
      <c r="N137" s="34"/>
    </row>
    <row r="138" spans="1:14">
      <c r="A138" s="33"/>
      <c r="B138" s="19" t="s">
        <v>9</v>
      </c>
      <c r="C138" s="20">
        <v>0</v>
      </c>
      <c r="D138" s="34"/>
      <c r="F138" s="33"/>
      <c r="G138" s="19" t="s">
        <v>9</v>
      </c>
      <c r="H138" s="20">
        <v>0</v>
      </c>
      <c r="I138" s="34"/>
      <c r="K138" s="33"/>
      <c r="L138" s="19" t="s">
        <v>9</v>
      </c>
      <c r="M138" s="20">
        <v>0</v>
      </c>
      <c r="N138" s="34"/>
    </row>
    <row r="139" spans="1:14">
      <c r="A139" s="33"/>
      <c r="B139" s="19" t="s">
        <v>10</v>
      </c>
      <c r="C139" s="20">
        <v>0</v>
      </c>
      <c r="D139" s="34"/>
      <c r="F139" s="33"/>
      <c r="G139" s="19" t="s">
        <v>10</v>
      </c>
      <c r="H139" s="20">
        <v>0</v>
      </c>
      <c r="I139" s="34"/>
      <c r="K139" s="33"/>
      <c r="L139" s="19" t="s">
        <v>10</v>
      </c>
      <c r="M139" s="20">
        <v>0</v>
      </c>
      <c r="N139" s="34"/>
    </row>
    <row r="140" spans="1:14">
      <c r="A140" s="33"/>
      <c r="B140" s="19" t="s">
        <v>119</v>
      </c>
      <c r="C140" s="20">
        <v>0</v>
      </c>
      <c r="D140" s="34"/>
      <c r="F140" s="33"/>
      <c r="G140" s="19" t="s">
        <v>119</v>
      </c>
      <c r="H140" s="20">
        <v>0</v>
      </c>
      <c r="I140" s="34"/>
      <c r="K140" s="33"/>
      <c r="L140" s="19" t="s">
        <v>119</v>
      </c>
      <c r="M140" s="20">
        <v>0</v>
      </c>
      <c r="N140" s="34"/>
    </row>
    <row r="141" spans="1:14">
      <c r="A141" s="33"/>
      <c r="B141" s="19" t="s">
        <v>123</v>
      </c>
      <c r="C141" s="20">
        <v>0</v>
      </c>
      <c r="D141" s="34"/>
      <c r="F141" s="33"/>
      <c r="G141" s="19" t="s">
        <v>123</v>
      </c>
      <c r="H141" s="20">
        <v>0</v>
      </c>
      <c r="I141" s="34"/>
      <c r="K141" s="33"/>
      <c r="L141" s="19" t="s">
        <v>123</v>
      </c>
      <c r="M141" s="20">
        <v>0</v>
      </c>
      <c r="N141" s="34"/>
    </row>
    <row r="142" spans="1:14">
      <c r="A142" s="33"/>
      <c r="B142" s="19" t="s">
        <v>124</v>
      </c>
      <c r="C142" s="20">
        <v>0</v>
      </c>
      <c r="D142" s="34"/>
      <c r="F142" s="33"/>
      <c r="G142" s="19" t="s">
        <v>124</v>
      </c>
      <c r="H142" s="20">
        <v>0</v>
      </c>
      <c r="I142" s="34"/>
      <c r="K142" s="33"/>
      <c r="L142" s="19" t="s">
        <v>124</v>
      </c>
      <c r="M142" s="20">
        <v>0</v>
      </c>
      <c r="N142" s="34"/>
    </row>
    <row r="143" spans="1:14">
      <c r="A143" s="35"/>
      <c r="B143" s="36"/>
      <c r="C143" s="37"/>
      <c r="D143" s="38"/>
      <c r="F143" s="35"/>
      <c r="G143" s="36"/>
      <c r="H143" s="37"/>
      <c r="I143" s="38"/>
      <c r="K143" s="35"/>
      <c r="L143" s="36"/>
      <c r="M143" s="37"/>
      <c r="N143" s="38"/>
    </row>
  </sheetData>
  <mergeCells count="95">
    <mergeCell ref="B2:C2"/>
    <mergeCell ref="G2:H2"/>
    <mergeCell ref="L2:M2"/>
    <mergeCell ref="B3:C3"/>
    <mergeCell ref="G3:H3"/>
    <mergeCell ref="L3:M3"/>
    <mergeCell ref="B4:C4"/>
    <mergeCell ref="G4:H4"/>
    <mergeCell ref="L4:M4"/>
    <mergeCell ref="B5:C5"/>
    <mergeCell ref="G5:H5"/>
    <mergeCell ref="B20:C20"/>
    <mergeCell ref="G20:H20"/>
    <mergeCell ref="L20:M20"/>
    <mergeCell ref="B21:C21"/>
    <mergeCell ref="G21:H21"/>
    <mergeCell ref="L21:M21"/>
    <mergeCell ref="B22:C22"/>
    <mergeCell ref="G22:H22"/>
    <mergeCell ref="L22:M22"/>
    <mergeCell ref="B23:C23"/>
    <mergeCell ref="G23:H23"/>
    <mergeCell ref="L23:M23"/>
    <mergeCell ref="B38:C38"/>
    <mergeCell ref="G38:H38"/>
    <mergeCell ref="L38:M38"/>
    <mergeCell ref="B39:C39"/>
    <mergeCell ref="G39:H39"/>
    <mergeCell ref="L39:M39"/>
    <mergeCell ref="B40:C40"/>
    <mergeCell ref="G40:H40"/>
    <mergeCell ref="L40:M40"/>
    <mergeCell ref="B41:C41"/>
    <mergeCell ref="G41:H41"/>
    <mergeCell ref="L41:M41"/>
    <mergeCell ref="B56:C56"/>
    <mergeCell ref="G56:H56"/>
    <mergeCell ref="L56:M56"/>
    <mergeCell ref="B57:C57"/>
    <mergeCell ref="G57:H57"/>
    <mergeCell ref="L57:M57"/>
    <mergeCell ref="B58:C58"/>
    <mergeCell ref="G58:H58"/>
    <mergeCell ref="L58:M58"/>
    <mergeCell ref="B59:C59"/>
    <mergeCell ref="G59:H59"/>
    <mergeCell ref="L59:M59"/>
    <mergeCell ref="B74:C74"/>
    <mergeCell ref="G74:H74"/>
    <mergeCell ref="L74:M74"/>
    <mergeCell ref="B75:C75"/>
    <mergeCell ref="G75:H75"/>
    <mergeCell ref="L75:M75"/>
    <mergeCell ref="B76:C76"/>
    <mergeCell ref="G76:H76"/>
    <mergeCell ref="L76:M76"/>
    <mergeCell ref="B77:C77"/>
    <mergeCell ref="G77:H77"/>
    <mergeCell ref="L77:M77"/>
    <mergeCell ref="B92:C92"/>
    <mergeCell ref="G92:H92"/>
    <mergeCell ref="L92:M92"/>
    <mergeCell ref="B93:C93"/>
    <mergeCell ref="G93:H93"/>
    <mergeCell ref="L93:M93"/>
    <mergeCell ref="B94:C94"/>
    <mergeCell ref="G94:H94"/>
    <mergeCell ref="L94:M94"/>
    <mergeCell ref="B95:C95"/>
    <mergeCell ref="G95:H95"/>
    <mergeCell ref="L95:M95"/>
    <mergeCell ref="B110:C110"/>
    <mergeCell ref="G110:H110"/>
    <mergeCell ref="L110:M110"/>
    <mergeCell ref="B111:C111"/>
    <mergeCell ref="G111:H111"/>
    <mergeCell ref="L111:M111"/>
    <mergeCell ref="B112:C112"/>
    <mergeCell ref="G112:H112"/>
    <mergeCell ref="L112:M112"/>
    <mergeCell ref="B113:C113"/>
    <mergeCell ref="G113:H113"/>
    <mergeCell ref="L113:M113"/>
    <mergeCell ref="B128:C128"/>
    <mergeCell ref="G128:H128"/>
    <mergeCell ref="L128:M128"/>
    <mergeCell ref="B129:C129"/>
    <mergeCell ref="G129:H129"/>
    <mergeCell ref="L129:M129"/>
    <mergeCell ref="B130:C130"/>
    <mergeCell ref="G130:H130"/>
    <mergeCell ref="L130:M130"/>
    <mergeCell ref="B131:C131"/>
    <mergeCell ref="G131:H131"/>
    <mergeCell ref="L131:M1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K28"/>
  <sheetViews>
    <sheetView workbookViewId="0">
      <selection activeCell="H4" sqref="H4"/>
    </sheetView>
  </sheetViews>
  <sheetFormatPr defaultColWidth="9.140625" defaultRowHeight="16.5"/>
  <cols>
    <col min="1" max="1" width="9.140625" style="10"/>
    <col min="2" max="2" width="27" style="10" customWidth="1"/>
    <col min="3" max="3" width="18" style="10" customWidth="1"/>
    <col min="4" max="4" width="10.42578125" style="10" customWidth="1"/>
    <col min="5" max="5" width="5.5703125" style="10" customWidth="1"/>
    <col min="6" max="6" width="30" style="10" customWidth="1"/>
    <col min="7" max="7" width="20.85546875" style="11" customWidth="1"/>
    <col min="8" max="8" width="28.5703125" style="10" customWidth="1"/>
    <col min="9" max="9" width="20.7109375" style="11" customWidth="1"/>
    <col min="10" max="10" width="19.140625" style="10" customWidth="1"/>
    <col min="11" max="11" width="13.42578125" style="10" customWidth="1"/>
    <col min="12" max="16384" width="9.140625" style="10"/>
  </cols>
  <sheetData>
    <row r="3" spans="2:11">
      <c r="B3" s="300" t="s">
        <v>145</v>
      </c>
      <c r="C3" s="300"/>
      <c r="D3" s="12"/>
      <c r="E3" s="13">
        <v>1</v>
      </c>
      <c r="F3" s="14" t="s">
        <v>146</v>
      </c>
      <c r="G3" s="15">
        <v>1650000</v>
      </c>
    </row>
    <row r="4" spans="2:11">
      <c r="B4" s="14"/>
      <c r="C4" s="14"/>
      <c r="D4" s="16"/>
      <c r="E4" s="13">
        <v>2</v>
      </c>
      <c r="F4" s="14" t="s">
        <v>147</v>
      </c>
      <c r="G4" s="15">
        <v>3700000</v>
      </c>
    </row>
    <row r="5" spans="2:11">
      <c r="B5" s="14" t="s">
        <v>148</v>
      </c>
      <c r="C5" s="15">
        <v>110000</v>
      </c>
      <c r="D5" s="17"/>
      <c r="E5" s="18"/>
      <c r="F5" s="14" t="s">
        <v>124</v>
      </c>
      <c r="G5" s="15">
        <f>SUM(G3:G4)</f>
        <v>5350000</v>
      </c>
      <c r="I5" s="11">
        <v>2900000</v>
      </c>
      <c r="J5" s="10">
        <v>19</v>
      </c>
      <c r="K5" s="11">
        <f>I5*J5</f>
        <v>55100000</v>
      </c>
    </row>
    <row r="6" spans="2:11">
      <c r="B6" s="14" t="s">
        <v>149</v>
      </c>
      <c r="C6" s="15">
        <v>500000</v>
      </c>
      <c r="D6" s="17"/>
      <c r="G6" s="10"/>
      <c r="I6" s="11">
        <v>2100000</v>
      </c>
      <c r="J6" s="10">
        <v>2</v>
      </c>
      <c r="K6" s="11">
        <f>I6*J6</f>
        <v>4200000</v>
      </c>
    </row>
    <row r="7" spans="2:11">
      <c r="B7" s="14" t="s">
        <v>150</v>
      </c>
      <c r="C7" s="15">
        <v>200000</v>
      </c>
      <c r="D7" s="17"/>
      <c r="E7" s="297" t="s">
        <v>151</v>
      </c>
      <c r="F7" s="297"/>
      <c r="G7" s="297"/>
      <c r="I7" s="11">
        <v>1800000</v>
      </c>
      <c r="J7" s="10">
        <v>1</v>
      </c>
      <c r="K7" s="11">
        <f>I7*J7</f>
        <v>1800000</v>
      </c>
    </row>
    <row r="8" spans="2:11">
      <c r="B8" s="14" t="s">
        <v>152</v>
      </c>
      <c r="C8" s="15">
        <v>150000</v>
      </c>
      <c r="D8" s="17"/>
      <c r="E8" s="19"/>
      <c r="F8" s="19"/>
      <c r="G8" s="20"/>
      <c r="K8" s="11">
        <f>SUM(K5:K7)</f>
        <v>61100000</v>
      </c>
    </row>
    <row r="9" spans="2:11">
      <c r="B9" s="14"/>
      <c r="C9" s="15">
        <f>SUM(C5:C8)</f>
        <v>960000</v>
      </c>
      <c r="D9" s="17"/>
      <c r="E9" s="21" t="s">
        <v>153</v>
      </c>
      <c r="F9" s="19"/>
      <c r="G9" s="19"/>
    </row>
    <row r="10" spans="2:11">
      <c r="B10" s="301" t="s">
        <v>154</v>
      </c>
      <c r="C10" s="301"/>
      <c r="D10" s="23"/>
      <c r="E10" s="24" t="s">
        <v>155</v>
      </c>
      <c r="F10" s="24" t="s">
        <v>156</v>
      </c>
      <c r="G10" s="25" t="s">
        <v>16</v>
      </c>
    </row>
    <row r="11" spans="2:11">
      <c r="B11" s="301" t="s">
        <v>157</v>
      </c>
      <c r="C11" s="301"/>
      <c r="D11" s="23"/>
      <c r="E11" s="26">
        <v>1</v>
      </c>
      <c r="F11" s="27" t="s">
        <v>158</v>
      </c>
      <c r="G11" s="28">
        <v>1050000</v>
      </c>
    </row>
    <row r="12" spans="2:11">
      <c r="E12" s="26">
        <v>2</v>
      </c>
      <c r="F12" s="27" t="s">
        <v>159</v>
      </c>
      <c r="G12" s="28">
        <v>1000000</v>
      </c>
    </row>
    <row r="13" spans="2:11">
      <c r="E13" s="26">
        <v>3</v>
      </c>
      <c r="F13" s="27" t="s">
        <v>160</v>
      </c>
      <c r="G13" s="28">
        <v>1000000</v>
      </c>
    </row>
    <row r="14" spans="2:11">
      <c r="E14" s="26">
        <v>4</v>
      </c>
      <c r="F14" s="27" t="s">
        <v>161</v>
      </c>
      <c r="G14" s="28">
        <v>1000000</v>
      </c>
      <c r="H14" s="11">
        <v>550000</v>
      </c>
      <c r="I14" s="11">
        <f>G3-H14</f>
        <v>1100000</v>
      </c>
    </row>
    <row r="15" spans="2:11">
      <c r="E15" s="26">
        <v>5</v>
      </c>
      <c r="F15" s="27" t="s">
        <v>162</v>
      </c>
      <c r="G15" s="28">
        <v>1000000</v>
      </c>
      <c r="I15" s="11">
        <v>3200000</v>
      </c>
    </row>
    <row r="16" spans="2:11">
      <c r="E16" s="26">
        <v>6</v>
      </c>
      <c r="F16" s="27" t="s">
        <v>163</v>
      </c>
      <c r="G16" s="28">
        <v>1012000</v>
      </c>
      <c r="I16" s="11">
        <f>SUM(I14:I15)</f>
        <v>4300000</v>
      </c>
      <c r="J16" s="10">
        <v>5</v>
      </c>
    </row>
    <row r="17" spans="1:10">
      <c r="E17" s="19"/>
      <c r="F17" s="19"/>
      <c r="G17" s="20">
        <f>SUM(G11:G16)-600000</f>
        <v>5462000</v>
      </c>
      <c r="J17" s="11">
        <f>I16/J16</f>
        <v>860000</v>
      </c>
    </row>
    <row r="18" spans="1:10">
      <c r="C18" s="19"/>
      <c r="D18" s="19"/>
      <c r="G18" s="10"/>
      <c r="H18" s="19"/>
      <c r="J18" s="11"/>
    </row>
    <row r="19" spans="1:10">
      <c r="C19" s="19"/>
      <c r="D19" s="19"/>
      <c r="G19" s="10"/>
      <c r="H19" s="19"/>
      <c r="J19" s="11"/>
    </row>
    <row r="20" spans="1:10">
      <c r="C20" s="19"/>
      <c r="D20" s="19"/>
      <c r="G20" s="10"/>
      <c r="H20" s="19"/>
      <c r="J20" s="11">
        <v>110000</v>
      </c>
    </row>
    <row r="21" spans="1:10">
      <c r="C21" s="19"/>
      <c r="D21" s="19"/>
      <c r="G21" s="10"/>
      <c r="H21" s="19"/>
      <c r="J21" s="11">
        <f>SUM(J17:J20)</f>
        <v>970000</v>
      </c>
    </row>
    <row r="22" spans="1:10">
      <c r="C22" s="19"/>
      <c r="D22" s="19"/>
      <c r="G22" s="10"/>
      <c r="H22" s="19">
        <v>110000</v>
      </c>
      <c r="I22" s="11">
        <f>G11-H22</f>
        <v>940000</v>
      </c>
    </row>
    <row r="23" spans="1:10">
      <c r="C23" s="19"/>
      <c r="D23" s="19"/>
      <c r="G23" s="10"/>
      <c r="H23" s="19"/>
    </row>
    <row r="24" spans="1:10">
      <c r="A24" s="10" t="s">
        <v>164</v>
      </c>
      <c r="C24" s="19"/>
      <c r="D24" s="19"/>
      <c r="G24" s="10"/>
      <c r="H24" s="19"/>
    </row>
    <row r="25" spans="1:10">
      <c r="C25" s="19"/>
      <c r="D25" s="19"/>
      <c r="G25" s="10"/>
      <c r="H25" s="19"/>
    </row>
    <row r="26" spans="1:10">
      <c r="C26" s="19"/>
      <c r="D26" s="19"/>
      <c r="G26" s="10"/>
      <c r="H26" s="19"/>
    </row>
    <row r="27" spans="1:10">
      <c r="A27" s="10">
        <v>1</v>
      </c>
      <c r="B27" s="10" t="s">
        <v>165</v>
      </c>
      <c r="C27" s="19"/>
      <c r="D27" s="19"/>
      <c r="G27" s="10"/>
      <c r="H27" s="19"/>
    </row>
    <row r="28" spans="1:10">
      <c r="C28" s="19"/>
      <c r="D28" s="19"/>
      <c r="G28" s="10"/>
      <c r="H28" s="19"/>
    </row>
  </sheetData>
  <mergeCells count="4">
    <mergeCell ref="B3:C3"/>
    <mergeCell ref="E7:G7"/>
    <mergeCell ref="B10:C10"/>
    <mergeCell ref="B11:C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18"/>
  <sheetViews>
    <sheetView topLeftCell="A7" workbookViewId="0">
      <selection activeCell="L4" sqref="L4"/>
    </sheetView>
  </sheetViews>
  <sheetFormatPr defaultColWidth="9.140625" defaultRowHeight="15"/>
  <cols>
    <col min="6" max="6" width="6.28515625" customWidth="1"/>
    <col min="7" max="7" width="19.140625" customWidth="1"/>
    <col min="8" max="8" width="16" customWidth="1"/>
    <col min="9" max="9" width="16.28515625" style="1" customWidth="1"/>
    <col min="10" max="10" width="18.85546875" style="1" customWidth="1"/>
    <col min="11" max="11" width="13.85546875" customWidth="1"/>
    <col min="12" max="12" width="19.140625" customWidth="1"/>
  </cols>
  <sheetData>
    <row r="2" spans="2:12" ht="16.5">
      <c r="B2" s="2"/>
      <c r="C2" s="2"/>
      <c r="D2" s="3"/>
      <c r="E2" s="2"/>
    </row>
    <row r="3" spans="2:12" ht="16.5">
      <c r="B3" s="2"/>
      <c r="C3" s="305" t="s">
        <v>0</v>
      </c>
      <c r="D3" s="305"/>
      <c r="E3" s="2"/>
      <c r="G3" s="1">
        <v>2500000</v>
      </c>
      <c r="H3" s="1">
        <v>3400000</v>
      </c>
      <c r="I3" s="1">
        <f>H3/8</f>
        <v>425000</v>
      </c>
      <c r="J3" s="1">
        <v>3500000</v>
      </c>
    </row>
    <row r="4" spans="2:12" ht="16.5">
      <c r="B4" s="2"/>
      <c r="C4" s="305" t="s">
        <v>114</v>
      </c>
      <c r="D4" s="305"/>
      <c r="E4" s="2"/>
      <c r="G4" s="1">
        <v>2900000</v>
      </c>
      <c r="H4" s="1">
        <v>3900000</v>
      </c>
      <c r="I4" s="1">
        <f>H4/8</f>
        <v>487500</v>
      </c>
      <c r="J4" s="1">
        <v>3900000</v>
      </c>
      <c r="L4">
        <f>25%*2000000</f>
        <v>500000</v>
      </c>
    </row>
    <row r="5" spans="2:12" ht="16.5">
      <c r="B5" s="2"/>
      <c r="C5" s="229"/>
      <c r="D5" s="229"/>
      <c r="E5" s="2"/>
      <c r="I5" t="s">
        <v>166</v>
      </c>
    </row>
    <row r="6" spans="2:12" ht="16.5">
      <c r="B6" s="2"/>
      <c r="C6" s="306" t="s">
        <v>167</v>
      </c>
      <c r="D6" s="306"/>
      <c r="E6" s="2"/>
    </row>
    <row r="7" spans="2:12" ht="16.5">
      <c r="B7" s="2"/>
      <c r="C7" s="2"/>
      <c r="D7" s="3"/>
      <c r="E7" s="2"/>
      <c r="F7" s="307"/>
      <c r="G7" s="307"/>
      <c r="H7" s="307"/>
      <c r="I7" s="307"/>
      <c r="J7" s="307"/>
    </row>
    <row r="8" spans="2:12" ht="22.5" customHeight="1">
      <c r="B8" s="2"/>
      <c r="C8" s="2" t="s">
        <v>116</v>
      </c>
      <c r="D8" s="3">
        <v>3100000</v>
      </c>
      <c r="E8" s="2"/>
      <c r="F8" s="6" t="s">
        <v>15</v>
      </c>
      <c r="G8" s="6" t="s">
        <v>168</v>
      </c>
      <c r="H8" s="6" t="s">
        <v>169</v>
      </c>
      <c r="I8" s="6" t="s">
        <v>170</v>
      </c>
      <c r="J8" s="6" t="s">
        <v>19</v>
      </c>
    </row>
    <row r="9" spans="2:12" ht="22.5" customHeight="1">
      <c r="B9" s="2"/>
      <c r="C9" s="2" t="s">
        <v>117</v>
      </c>
      <c r="D9" s="3">
        <v>100000</v>
      </c>
      <c r="E9" s="2"/>
      <c r="F9" s="302">
        <v>1</v>
      </c>
      <c r="G9" s="304" t="s">
        <v>171</v>
      </c>
      <c r="H9" s="7" t="s">
        <v>172</v>
      </c>
      <c r="I9" s="8" t="s">
        <v>173</v>
      </c>
      <c r="J9" s="8">
        <v>550000</v>
      </c>
      <c r="L9" s="1">
        <f>J9*6</f>
        <v>3300000</v>
      </c>
    </row>
    <row r="10" spans="2:12" ht="22.5" customHeight="1">
      <c r="B10" s="2"/>
      <c r="C10" s="2" t="s">
        <v>118</v>
      </c>
      <c r="D10" s="3">
        <v>10000</v>
      </c>
      <c r="E10" s="2"/>
      <c r="F10" s="302"/>
      <c r="G10" s="304"/>
      <c r="H10" s="7" t="s">
        <v>174</v>
      </c>
      <c r="I10" s="8" t="s">
        <v>173</v>
      </c>
      <c r="J10" s="8">
        <v>630000</v>
      </c>
      <c r="L10" s="1">
        <f>J10*6</f>
        <v>3780000</v>
      </c>
    </row>
    <row r="11" spans="2:12" ht="22.5" customHeight="1">
      <c r="B11" s="2"/>
      <c r="C11" s="2"/>
      <c r="D11" s="3"/>
      <c r="E11" s="2"/>
      <c r="F11" s="303">
        <v>2</v>
      </c>
      <c r="G11" s="304" t="s">
        <v>171</v>
      </c>
      <c r="H11" s="7" t="s">
        <v>172</v>
      </c>
      <c r="I11" s="8" t="s">
        <v>175</v>
      </c>
      <c r="J11" s="9">
        <v>425000</v>
      </c>
      <c r="L11" s="1">
        <f>J11*8</f>
        <v>3400000</v>
      </c>
    </row>
    <row r="12" spans="2:12" ht="22.5" customHeight="1">
      <c r="B12" s="2"/>
      <c r="C12" s="2"/>
      <c r="D12" s="3"/>
      <c r="E12" s="2"/>
      <c r="F12" s="303"/>
      <c r="G12" s="304"/>
      <c r="H12" s="7" t="s">
        <v>174</v>
      </c>
      <c r="I12" s="8" t="s">
        <v>175</v>
      </c>
      <c r="J12" s="9">
        <v>488000</v>
      </c>
      <c r="L12" s="1">
        <f>J12*8</f>
        <v>3904000</v>
      </c>
    </row>
    <row r="13" spans="2:12" ht="22.5" customHeight="1">
      <c r="B13" s="2"/>
      <c r="C13" s="2" t="s">
        <v>9</v>
      </c>
      <c r="D13" s="3">
        <v>0</v>
      </c>
      <c r="E13" s="2"/>
      <c r="F13" s="303">
        <v>3</v>
      </c>
      <c r="G13" s="304" t="s">
        <v>171</v>
      </c>
      <c r="H13" s="7" t="s">
        <v>172</v>
      </c>
      <c r="I13" s="8" t="s">
        <v>176</v>
      </c>
      <c r="J13" s="9">
        <v>340000</v>
      </c>
      <c r="L13" s="1">
        <f>J13*10</f>
        <v>3400000</v>
      </c>
    </row>
    <row r="14" spans="2:12" ht="22.5" customHeight="1">
      <c r="B14" s="2"/>
      <c r="C14" s="2" t="s">
        <v>10</v>
      </c>
      <c r="D14" s="3">
        <v>0</v>
      </c>
      <c r="E14" s="2"/>
      <c r="F14" s="303"/>
      <c r="G14" s="304"/>
      <c r="H14" s="7" t="s">
        <v>174</v>
      </c>
      <c r="I14" s="8" t="s">
        <v>176</v>
      </c>
      <c r="J14" s="9">
        <v>390000</v>
      </c>
      <c r="L14" s="1">
        <f>J14*10</f>
        <v>3900000</v>
      </c>
    </row>
    <row r="15" spans="2:12" ht="16.5">
      <c r="B15" s="2"/>
      <c r="C15" s="2" t="s">
        <v>119</v>
      </c>
      <c r="D15" s="3">
        <v>0</v>
      </c>
      <c r="E15" s="2"/>
    </row>
    <row r="16" spans="2:12" ht="16.5">
      <c r="B16" s="2"/>
      <c r="C16" s="2" t="s">
        <v>123</v>
      </c>
      <c r="D16" s="3">
        <v>0</v>
      </c>
      <c r="E16" s="2"/>
    </row>
    <row r="17" spans="2:5" ht="16.5">
      <c r="B17" s="2"/>
      <c r="C17" s="2" t="s">
        <v>124</v>
      </c>
      <c r="D17" s="3">
        <v>0</v>
      </c>
      <c r="E17" s="2"/>
    </row>
    <row r="18" spans="2:5" ht="16.5">
      <c r="B18" s="2"/>
      <c r="C18" s="2"/>
      <c r="D18" s="3"/>
      <c r="E18" s="2"/>
    </row>
  </sheetData>
  <mergeCells count="11">
    <mergeCell ref="C3:D3"/>
    <mergeCell ref="C4:D4"/>
    <mergeCell ref="C5:D5"/>
    <mergeCell ref="C6:D6"/>
    <mergeCell ref="F7:J7"/>
    <mergeCell ref="F9:F10"/>
    <mergeCell ref="F11:F12"/>
    <mergeCell ref="F13:F14"/>
    <mergeCell ref="G9:G10"/>
    <mergeCell ref="G11:G12"/>
    <mergeCell ref="G13:G14"/>
  </mergeCells>
  <pageMargins left="0.75" right="0.75" top="1" bottom="1" header="0.5" footer="0.5"/>
  <pageSetup orientation="portrait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Rincian Angsuran </vt:lpstr>
      <vt:lpstr>Rekap Pinjaman 2025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2025-11-08T04:30:00Z</dcterms:created>
  <dcterms:modified xsi:type="dcterms:W3CDTF">2026-08-05T02:28:46Z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509DED79982847BF8C32007ADB1B470C_12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